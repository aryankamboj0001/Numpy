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35\python\Excel\"/>
    </mc:Choice>
  </mc:AlternateContent>
  <xr:revisionPtr revIDLastSave="0" documentId="13_ncr:1_{916A39A9-5301-4996-B880-E89F20B73172}" xr6:coauthVersionLast="47" xr6:coauthVersionMax="47" xr10:uidLastSave="{00000000-0000-0000-0000-000000000000}"/>
  <bookViews>
    <workbookView xWindow="-108" yWindow="-108" windowWidth="23256" windowHeight="12456" xr2:uid="{4D04EBCF-61E8-4761-894E-AF8F68D120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6" i="1" l="1"/>
  <c r="I47" i="1"/>
  <c r="I48" i="1"/>
  <c r="I49" i="1"/>
  <c r="I50" i="1"/>
  <c r="I51" i="1"/>
  <c r="I52" i="1"/>
  <c r="I53" i="1"/>
  <c r="I54" i="1"/>
  <c r="I55" i="1"/>
  <c r="I56" i="1"/>
  <c r="I45" i="1"/>
  <c r="H46" i="1"/>
  <c r="H47" i="1"/>
  <c r="H48" i="1"/>
  <c r="H49" i="1"/>
  <c r="H50" i="1"/>
  <c r="H51" i="1"/>
  <c r="H52" i="1"/>
  <c r="H53" i="1"/>
  <c r="H54" i="1"/>
  <c r="H55" i="1"/>
  <c r="H56" i="1"/>
  <c r="H45" i="1"/>
  <c r="E56" i="1"/>
  <c r="E55" i="1"/>
  <c r="E53" i="1"/>
  <c r="E51" i="1"/>
  <c r="E50" i="1"/>
  <c r="E49" i="1"/>
  <c r="E47" i="1"/>
  <c r="E46" i="1"/>
  <c r="E45" i="1"/>
  <c r="O29" i="1"/>
  <c r="O30" i="1"/>
  <c r="O31" i="1"/>
  <c r="O32" i="1"/>
  <c r="O33" i="1"/>
  <c r="O34" i="1"/>
  <c r="O35" i="1"/>
  <c r="O36" i="1"/>
  <c r="O37" i="1"/>
  <c r="O38" i="1"/>
  <c r="O39" i="1"/>
  <c r="O28" i="1"/>
  <c r="N29" i="1"/>
  <c r="N30" i="1"/>
  <c r="N31" i="1"/>
  <c r="N32" i="1"/>
  <c r="N33" i="1"/>
  <c r="N34" i="1"/>
  <c r="N35" i="1"/>
  <c r="N36" i="1"/>
  <c r="N37" i="1"/>
  <c r="N38" i="1"/>
  <c r="N39" i="1"/>
  <c r="N28" i="1"/>
  <c r="M29" i="1"/>
  <c r="M30" i="1"/>
  <c r="M31" i="1"/>
  <c r="M32" i="1"/>
  <c r="M33" i="1"/>
  <c r="M34" i="1"/>
  <c r="M35" i="1"/>
  <c r="M36" i="1"/>
  <c r="M37" i="1"/>
  <c r="M38" i="1"/>
  <c r="M39" i="1"/>
  <c r="M28" i="1"/>
  <c r="L28" i="1"/>
  <c r="L29" i="1"/>
  <c r="L30" i="1"/>
  <c r="L31" i="1"/>
  <c r="L32" i="1"/>
  <c r="L33" i="1"/>
  <c r="L34" i="1"/>
  <c r="L35" i="1"/>
  <c r="L36" i="1"/>
  <c r="L37" i="1"/>
  <c r="L38" i="1"/>
  <c r="L39" i="1"/>
  <c r="K29" i="1"/>
  <c r="K30" i="1"/>
  <c r="K31" i="1"/>
  <c r="K32" i="1"/>
  <c r="K33" i="1"/>
  <c r="K34" i="1"/>
  <c r="K35" i="1"/>
  <c r="K36" i="1"/>
  <c r="K37" i="1"/>
  <c r="K38" i="1"/>
  <c r="K39" i="1"/>
  <c r="K28" i="1"/>
  <c r="J29" i="1"/>
  <c r="J30" i="1"/>
  <c r="J31" i="1"/>
  <c r="J32" i="1"/>
  <c r="J33" i="1"/>
  <c r="J34" i="1"/>
  <c r="J35" i="1"/>
  <c r="J36" i="1"/>
  <c r="J37" i="1"/>
  <c r="J38" i="1"/>
  <c r="J39" i="1"/>
  <c r="H12" i="1"/>
  <c r="J28" i="1"/>
  <c r="I29" i="1"/>
  <c r="I30" i="1"/>
  <c r="I31" i="1"/>
  <c r="I32" i="1"/>
  <c r="I33" i="1"/>
  <c r="I34" i="1"/>
  <c r="I35" i="1"/>
  <c r="I36" i="1"/>
  <c r="I37" i="1"/>
  <c r="I38" i="1"/>
  <c r="I39" i="1"/>
  <c r="I28" i="1"/>
  <c r="H29" i="1"/>
  <c r="H30" i="1"/>
  <c r="H31" i="1"/>
  <c r="H32" i="1"/>
  <c r="H33" i="1"/>
  <c r="H34" i="1"/>
  <c r="H35" i="1"/>
  <c r="H36" i="1"/>
  <c r="H37" i="1"/>
  <c r="H38" i="1"/>
  <c r="H39" i="1"/>
  <c r="H28" i="1"/>
  <c r="E28" i="1"/>
  <c r="E29" i="1"/>
  <c r="E30" i="1"/>
  <c r="E31" i="1"/>
  <c r="E32" i="1"/>
  <c r="E33" i="1"/>
  <c r="E34" i="1"/>
  <c r="E35" i="1"/>
  <c r="E36" i="1"/>
  <c r="E37" i="1"/>
  <c r="E38" i="1"/>
  <c r="E39" i="1"/>
  <c r="P13" i="1"/>
  <c r="P14" i="1"/>
  <c r="P15" i="1"/>
  <c r="P16" i="1"/>
  <c r="P17" i="1"/>
  <c r="P18" i="1"/>
  <c r="P19" i="1"/>
  <c r="P20" i="1"/>
  <c r="P21" i="1"/>
  <c r="P22" i="1"/>
  <c r="P23" i="1"/>
  <c r="P12" i="1"/>
  <c r="O13" i="1"/>
  <c r="O14" i="1"/>
  <c r="O15" i="1"/>
  <c r="O16" i="1"/>
  <c r="O17" i="1"/>
  <c r="O18" i="1"/>
  <c r="O19" i="1"/>
  <c r="O20" i="1"/>
  <c r="O21" i="1"/>
  <c r="O22" i="1"/>
  <c r="O23" i="1"/>
  <c r="O12" i="1"/>
  <c r="N13" i="1"/>
  <c r="N14" i="1"/>
  <c r="N15" i="1"/>
  <c r="N16" i="1"/>
  <c r="N17" i="1"/>
  <c r="N18" i="1"/>
  <c r="N19" i="1"/>
  <c r="N20" i="1"/>
  <c r="N21" i="1"/>
  <c r="N22" i="1"/>
  <c r="N23" i="1"/>
  <c r="N12" i="1"/>
  <c r="M12" i="1"/>
  <c r="M13" i="1"/>
  <c r="M14" i="1"/>
  <c r="M15" i="1"/>
  <c r="M16" i="1"/>
  <c r="M17" i="1"/>
  <c r="M18" i="1"/>
  <c r="M19" i="1"/>
  <c r="M20" i="1"/>
  <c r="M21" i="1"/>
  <c r="M22" i="1"/>
  <c r="M23" i="1"/>
  <c r="L13" i="1"/>
  <c r="L14" i="1"/>
  <c r="L15" i="1"/>
  <c r="L16" i="1"/>
  <c r="L17" i="1"/>
  <c r="L18" i="1"/>
  <c r="L19" i="1"/>
  <c r="L20" i="1"/>
  <c r="L21" i="1"/>
  <c r="L22" i="1"/>
  <c r="L23" i="1"/>
  <c r="L12" i="1"/>
  <c r="K13" i="1"/>
  <c r="K14" i="1"/>
  <c r="K15" i="1"/>
  <c r="K16" i="1"/>
  <c r="K17" i="1"/>
  <c r="K18" i="1"/>
  <c r="K19" i="1"/>
  <c r="K20" i="1"/>
  <c r="K21" i="1"/>
  <c r="K22" i="1"/>
  <c r="K23" i="1"/>
  <c r="K12" i="1"/>
  <c r="J13" i="1"/>
  <c r="J14" i="1"/>
  <c r="J15" i="1"/>
  <c r="J16" i="1"/>
  <c r="J17" i="1"/>
  <c r="J18" i="1"/>
  <c r="J19" i="1"/>
  <c r="J20" i="1"/>
  <c r="J21" i="1"/>
  <c r="J22" i="1"/>
  <c r="J23" i="1"/>
  <c r="J12" i="1"/>
  <c r="I13" i="1"/>
  <c r="I14" i="1"/>
  <c r="I15" i="1"/>
  <c r="I16" i="1"/>
  <c r="I17" i="1"/>
  <c r="I18" i="1"/>
  <c r="I19" i="1"/>
  <c r="I20" i="1"/>
  <c r="I21" i="1"/>
  <c r="I22" i="1"/>
  <c r="I23" i="1"/>
  <c r="I12" i="1"/>
  <c r="H13" i="1"/>
  <c r="H14" i="1"/>
  <c r="H15" i="1"/>
  <c r="H16" i="1"/>
  <c r="H17" i="1"/>
  <c r="H18" i="1"/>
  <c r="H19" i="1"/>
  <c r="H20" i="1"/>
  <c r="H21" i="1"/>
  <c r="H22" i="1"/>
  <c r="H23" i="1"/>
  <c r="E12" i="1"/>
  <c r="E13" i="1"/>
  <c r="E14" i="1"/>
  <c r="E15" i="1"/>
  <c r="E16" i="1"/>
  <c r="E17" i="1"/>
  <c r="E18" i="1"/>
  <c r="E19" i="1"/>
  <c r="E20" i="1"/>
  <c r="E21" i="1"/>
  <c r="E22" i="1"/>
  <c r="E23" i="1"/>
  <c r="I3" i="1"/>
  <c r="I4" i="1"/>
  <c r="I5" i="1"/>
  <c r="I2" i="1"/>
</calcChain>
</file>

<file path=xl/sharedStrings.xml><?xml version="1.0" encoding="utf-8"?>
<sst xmlns="http://schemas.openxmlformats.org/spreadsheetml/2006/main" count="253" uniqueCount="111">
  <si>
    <t>ID_Raw</t>
  </si>
  <si>
    <t>First Name</t>
  </si>
  <si>
    <t>Last Name</t>
  </si>
  <si>
    <t>Email_Raw</t>
  </si>
  <si>
    <t>ID_Formatted</t>
  </si>
  <si>
    <t>Full Name</t>
  </si>
  <si>
    <t>Email_Formatted</t>
  </si>
  <si>
    <t>Code</t>
  </si>
  <si>
    <t>John</t>
  </si>
  <si>
    <t>Doe</t>
  </si>
  <si>
    <t>john.doe@example.com</t>
  </si>
  <si>
    <t>John Doe</t>
  </si>
  <si>
    <t>JD001</t>
  </si>
  <si>
    <t>Jane</t>
  </si>
  <si>
    <t>Smith</t>
  </si>
  <si>
    <t>jane.smith@example.com</t>
  </si>
  <si>
    <t>Jane Smith</t>
  </si>
  <si>
    <t>JS002</t>
  </si>
  <si>
    <t>Peter</t>
  </si>
  <si>
    <t>Jones</t>
  </si>
  <si>
    <t>peter.jones@example.com</t>
  </si>
  <si>
    <t>Peter Jones</t>
  </si>
  <si>
    <t>PJ003</t>
  </si>
  <si>
    <t>Alice</t>
  </si>
  <si>
    <t>Brown</t>
  </si>
  <si>
    <t>alice.brown@example.com</t>
  </si>
  <si>
    <t>Alice Brown</t>
  </si>
  <si>
    <t>AB004</t>
  </si>
  <si>
    <t>ID</t>
  </si>
  <si>
    <t>Email</t>
  </si>
  <si>
    <t>Aryan Sharma</t>
  </si>
  <si>
    <t>aryan.sharma@example.com</t>
  </si>
  <si>
    <t>Riya Verma</t>
  </si>
  <si>
    <t>riya.verma@example.com</t>
  </si>
  <si>
    <t>Rohan Mehta</t>
  </si>
  <si>
    <t>rohan.mehta@example.com</t>
  </si>
  <si>
    <t>Sneha Kapoor</t>
  </si>
  <si>
    <t>sneha.kapoor@example.com</t>
  </si>
  <si>
    <t>Aditya Singh</t>
  </si>
  <si>
    <t>aditya.singh@example.com</t>
  </si>
  <si>
    <t>Priya Nair</t>
  </si>
  <si>
    <t>priya.nair@example.com</t>
  </si>
  <si>
    <t>Manish Gupta</t>
  </si>
  <si>
    <t>manish.gupta@example.com</t>
  </si>
  <si>
    <t>Kavya Patel</t>
  </si>
  <si>
    <t>kavya.patel@example.com</t>
  </si>
  <si>
    <t>Sumit Rao</t>
  </si>
  <si>
    <t>sumit.rao@example.com</t>
  </si>
  <si>
    <t>Neha Bansal</t>
  </si>
  <si>
    <t>neha.bansal@example.com</t>
  </si>
  <si>
    <t>Arjun Khanna</t>
  </si>
  <si>
    <t>arjun.khanna@example.com</t>
  </si>
  <si>
    <t>Divya Soni</t>
  </si>
  <si>
    <t>divya.soni@example.com</t>
  </si>
  <si>
    <t xml:space="preserve"> </t>
  </si>
  <si>
    <t>Country</t>
  </si>
  <si>
    <t>Mobile</t>
  </si>
  <si>
    <t>Qualification</t>
  </si>
  <si>
    <t>India</t>
  </si>
  <si>
    <t>B.Tech</t>
  </si>
  <si>
    <t>MBA</t>
  </si>
  <si>
    <t>USA</t>
  </si>
  <si>
    <t>M.Sc</t>
  </si>
  <si>
    <t>UK</t>
  </si>
  <si>
    <t>BCA</t>
  </si>
  <si>
    <t>Canada</t>
  </si>
  <si>
    <t>BA</t>
  </si>
  <si>
    <t>BBA</t>
  </si>
  <si>
    <t>M.Tech</t>
  </si>
  <si>
    <t>Australia</t>
  </si>
  <si>
    <t>B.Sc</t>
  </si>
  <si>
    <t>UAE</t>
  </si>
  <si>
    <t>B.Com</t>
  </si>
  <si>
    <t>Germany</t>
  </si>
  <si>
    <t>CX-IND-001001</t>
  </si>
  <si>
    <t>CX-IND-001002</t>
  </si>
  <si>
    <t>CX-USA-001003</t>
  </si>
  <si>
    <t>CX-UK-001004</t>
  </si>
  <si>
    <t>CX-CAN-001005</t>
  </si>
  <si>
    <t>CX-IND-001006</t>
  </si>
  <si>
    <t>CX-IND-001007</t>
  </si>
  <si>
    <t>CX-AUS-001008</t>
  </si>
  <si>
    <t>CX-UAE-001009</t>
  </si>
  <si>
    <t>CX-IND-001010</t>
  </si>
  <si>
    <t>CX-GER-001011</t>
  </si>
  <si>
    <t>CX-IND-001012</t>
  </si>
  <si>
    <t>Aryan   Sharma</t>
  </si>
  <si>
    <t xml:space="preserve">     Riya Verma</t>
  </si>
  <si>
    <t xml:space="preserve">       Sneha Kapoor</t>
  </si>
  <si>
    <t>Aditya    Singh</t>
  </si>
  <si>
    <t xml:space="preserve">     Kavya Patel</t>
  </si>
  <si>
    <t>Neha    Bansal</t>
  </si>
  <si>
    <t xml:space="preserve">       Divya Soni</t>
  </si>
  <si>
    <t>left</t>
  </si>
  <si>
    <t>mid</t>
  </si>
  <si>
    <t>right</t>
  </si>
  <si>
    <t>trim</t>
  </si>
  <si>
    <t>length</t>
  </si>
  <si>
    <t>upper</t>
  </si>
  <si>
    <t>lower</t>
  </si>
  <si>
    <t>proper</t>
  </si>
  <si>
    <t>trim&amp;proper</t>
  </si>
  <si>
    <t>search</t>
  </si>
  <si>
    <t>find</t>
  </si>
  <si>
    <t>username</t>
  </si>
  <si>
    <t>serach cx</t>
  </si>
  <si>
    <t>slash code/substitude</t>
  </si>
  <si>
    <t>slash code/ replace</t>
  </si>
  <si>
    <t>name | country/ concat</t>
  </si>
  <si>
    <t>name | country/ &amp;</t>
  </si>
  <si>
    <t>text joint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</si>
</sst>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98593-8130-4666-90A0-2946DA38BE06}">
  <dimension ref="A1:P56"/>
  <sheetViews>
    <sheetView tabSelected="1" workbookViewId="0">
      <selection activeCell="I60" sqref="I60"/>
    </sheetView>
  </sheetViews>
  <sheetFormatPr defaultRowHeight="14.4" x14ac:dyDescent="0.3"/>
  <cols>
    <col min="2" max="2" width="15.44140625" bestFit="1" customWidth="1"/>
    <col min="3" max="3" width="25.21875" bestFit="1" customWidth="1"/>
    <col min="4" max="4" width="23.6640625" bestFit="1" customWidth="1"/>
    <col min="5" max="5" width="12.5546875" bestFit="1" customWidth="1"/>
    <col min="6" max="6" width="11.6640625" bestFit="1" customWidth="1"/>
    <col min="7" max="7" width="23.6640625" bestFit="1" customWidth="1"/>
    <col min="8" max="8" width="24.5546875" bestFit="1" customWidth="1"/>
    <col min="9" max="9" width="25" bestFit="1" customWidth="1"/>
    <col min="10" max="10" width="12.109375" bestFit="1" customWidth="1"/>
    <col min="11" max="11" width="12.21875" bestFit="1" customWidth="1"/>
    <col min="12" max="12" width="19.5546875" bestFit="1" customWidth="1"/>
    <col min="13" max="13" width="17.21875" bestFit="1" customWidth="1"/>
    <col min="14" max="14" width="21.5546875" bestFit="1" customWidth="1"/>
    <col min="15" max="15" width="20.109375" bestFit="1" customWidth="1"/>
    <col min="16" max="16" width="12.21875" bestFit="1" customWidth="1"/>
  </cols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6" x14ac:dyDescent="0.3">
      <c r="A2">
        <v>1</v>
      </c>
      <c r="B2" t="s">
        <v>8</v>
      </c>
      <c r="C2" t="s">
        <v>9</v>
      </c>
      <c r="D2" t="s">
        <v>10</v>
      </c>
      <c r="E2">
        <v>1</v>
      </c>
      <c r="F2" t="s">
        <v>11</v>
      </c>
      <c r="G2" t="s">
        <v>10</v>
      </c>
      <c r="H2" t="s">
        <v>12</v>
      </c>
      <c r="I2" t="str">
        <f>LEFT(H2,2)</f>
        <v>JD</v>
      </c>
    </row>
    <row r="3" spans="1:16" x14ac:dyDescent="0.3">
      <c r="A3">
        <v>2</v>
      </c>
      <c r="B3" t="s">
        <v>13</v>
      </c>
      <c r="C3" t="s">
        <v>14</v>
      </c>
      <c r="D3" t="s">
        <v>15</v>
      </c>
      <c r="E3">
        <v>2</v>
      </c>
      <c r="F3" t="s">
        <v>16</v>
      </c>
      <c r="G3" t="s">
        <v>15</v>
      </c>
      <c r="H3" t="s">
        <v>17</v>
      </c>
      <c r="I3" t="str">
        <f t="shared" ref="I3:I5" si="0">LEFT(H3,2)</f>
        <v>JS</v>
      </c>
    </row>
    <row r="4" spans="1:16" x14ac:dyDescent="0.3">
      <c r="A4">
        <v>3</v>
      </c>
      <c r="B4" t="s">
        <v>18</v>
      </c>
      <c r="C4" t="s">
        <v>19</v>
      </c>
      <c r="D4" t="s">
        <v>20</v>
      </c>
      <c r="E4">
        <v>3</v>
      </c>
      <c r="F4" t="s">
        <v>21</v>
      </c>
      <c r="G4" t="s">
        <v>20</v>
      </c>
      <c r="H4" t="s">
        <v>22</v>
      </c>
      <c r="I4" t="str">
        <f t="shared" si="0"/>
        <v>PJ</v>
      </c>
    </row>
    <row r="5" spans="1:16" x14ac:dyDescent="0.3">
      <c r="A5">
        <v>4</v>
      </c>
      <c r="B5" t="s">
        <v>23</v>
      </c>
      <c r="C5" t="s">
        <v>24</v>
      </c>
      <c r="D5" t="s">
        <v>25</v>
      </c>
      <c r="E5">
        <v>4</v>
      </c>
      <c r="F5" t="s">
        <v>26</v>
      </c>
      <c r="G5" t="s">
        <v>25</v>
      </c>
      <c r="H5" t="s">
        <v>27</v>
      </c>
      <c r="I5" t="str">
        <f t="shared" si="0"/>
        <v>AB</v>
      </c>
    </row>
    <row r="7" spans="1:16" x14ac:dyDescent="0.3">
      <c r="E7" t="s">
        <v>54</v>
      </c>
    </row>
    <row r="11" spans="1:16" s="1" customFormat="1" x14ac:dyDescent="0.3">
      <c r="A11" s="1" t="s">
        <v>28</v>
      </c>
      <c r="B11" s="1" t="s">
        <v>5</v>
      </c>
      <c r="C11" s="1" t="s">
        <v>29</v>
      </c>
      <c r="D11" s="1" t="s">
        <v>55</v>
      </c>
      <c r="E11" s="1" t="s">
        <v>56</v>
      </c>
      <c r="F11" s="1" t="s">
        <v>57</v>
      </c>
      <c r="G11" s="1" t="s">
        <v>7</v>
      </c>
      <c r="H11" s="1" t="s">
        <v>93</v>
      </c>
      <c r="I11" s="1" t="s">
        <v>94</v>
      </c>
      <c r="J11" s="1" t="s">
        <v>95</v>
      </c>
      <c r="K11" s="1" t="s">
        <v>96</v>
      </c>
      <c r="L11" s="1" t="s">
        <v>97</v>
      </c>
      <c r="M11" s="1" t="s">
        <v>98</v>
      </c>
      <c r="N11" s="1" t="s">
        <v>99</v>
      </c>
      <c r="O11" s="1" t="s">
        <v>100</v>
      </c>
      <c r="P11" s="1" t="s">
        <v>101</v>
      </c>
    </row>
    <row r="12" spans="1:16" x14ac:dyDescent="0.3">
      <c r="A12">
        <v>101</v>
      </c>
      <c r="B12" t="s">
        <v>86</v>
      </c>
      <c r="C12" t="s">
        <v>31</v>
      </c>
      <c r="D12" t="s">
        <v>58</v>
      </c>
      <c r="E12">
        <f>91-9876543210</f>
        <v>-9876543119</v>
      </c>
      <c r="F12" t="s">
        <v>59</v>
      </c>
      <c r="G12" t="s">
        <v>74</v>
      </c>
      <c r="H12" t="str">
        <f>LEFT(G12,2)</f>
        <v>CX</v>
      </c>
      <c r="I12" t="str">
        <f>MID(G12,4,3)</f>
        <v>IND</v>
      </c>
      <c r="J12" t="str">
        <f>RIGHT(G12,4)</f>
        <v>1001</v>
      </c>
      <c r="K12" t="str">
        <f>TRIM(B12)</f>
        <v>Aryan Sharma</v>
      </c>
      <c r="L12">
        <f>LEN(K12)</f>
        <v>12</v>
      </c>
      <c r="M12" t="str">
        <f>UPPER(B12)</f>
        <v>ARYAN   SHARMA</v>
      </c>
      <c r="N12" t="str">
        <f>LOWER(B12)</f>
        <v>aryan   sharma</v>
      </c>
      <c r="O12" t="str">
        <f>PROPER(B12)</f>
        <v>Aryan   Sharma</v>
      </c>
      <c r="P12" t="str">
        <f>TRIM(PROPER(B12))</f>
        <v>Aryan Sharma</v>
      </c>
    </row>
    <row r="13" spans="1:16" x14ac:dyDescent="0.3">
      <c r="A13">
        <v>102</v>
      </c>
      <c r="B13" t="s">
        <v>87</v>
      </c>
      <c r="C13" t="s">
        <v>33</v>
      </c>
      <c r="D13" t="s">
        <v>58</v>
      </c>
      <c r="E13">
        <f>91-9876501122</f>
        <v>-9876501031</v>
      </c>
      <c r="F13" t="s">
        <v>60</v>
      </c>
      <c r="G13" t="s">
        <v>75</v>
      </c>
      <c r="H13" t="str">
        <f t="shared" ref="H13:H23" si="1">LEFT(G13,2)</f>
        <v>CX</v>
      </c>
      <c r="I13" t="str">
        <f t="shared" ref="I13:I23" si="2">MID(G13,4,3)</f>
        <v>IND</v>
      </c>
      <c r="J13" t="str">
        <f t="shared" ref="J13:J23" si="3">RIGHT(G13,4)</f>
        <v>1002</v>
      </c>
      <c r="K13" t="str">
        <f t="shared" ref="K13:K23" si="4">TRIM(B13)</f>
        <v>Riya Verma</v>
      </c>
      <c r="L13">
        <f t="shared" ref="L13:L23" si="5">LEN(K13)</f>
        <v>10</v>
      </c>
      <c r="M13" t="str">
        <f t="shared" ref="M13:M23" si="6">UPPER(B13)</f>
        <v xml:space="preserve">     RIYA VERMA</v>
      </c>
      <c r="N13" t="str">
        <f t="shared" ref="N13:N23" si="7">LOWER(B13)</f>
        <v xml:space="preserve">     riya verma</v>
      </c>
      <c r="O13" t="str">
        <f t="shared" ref="O13:O23" si="8">PROPER(B13)</f>
        <v xml:space="preserve">     Riya Verma</v>
      </c>
      <c r="P13" t="str">
        <f t="shared" ref="P13:P23" si="9">TRIM(PROPER(B13))</f>
        <v>Riya Verma</v>
      </c>
    </row>
    <row r="14" spans="1:16" x14ac:dyDescent="0.3">
      <c r="A14">
        <v>103</v>
      </c>
      <c r="B14" t="s">
        <v>34</v>
      </c>
      <c r="C14" t="s">
        <v>35</v>
      </c>
      <c r="D14" t="s">
        <v>61</v>
      </c>
      <c r="E14">
        <f>1-408-555-3322</f>
        <v>-4284</v>
      </c>
      <c r="F14" t="s">
        <v>62</v>
      </c>
      <c r="G14" t="s">
        <v>76</v>
      </c>
      <c r="H14" t="str">
        <f t="shared" si="1"/>
        <v>CX</v>
      </c>
      <c r="I14" t="str">
        <f t="shared" si="2"/>
        <v>USA</v>
      </c>
      <c r="J14" t="str">
        <f t="shared" si="3"/>
        <v>1003</v>
      </c>
      <c r="K14" t="str">
        <f t="shared" si="4"/>
        <v>Rohan Mehta</v>
      </c>
      <c r="L14">
        <f t="shared" si="5"/>
        <v>11</v>
      </c>
      <c r="M14" t="str">
        <f t="shared" si="6"/>
        <v>ROHAN MEHTA</v>
      </c>
      <c r="N14" t="str">
        <f t="shared" si="7"/>
        <v>rohan mehta</v>
      </c>
      <c r="O14" t="str">
        <f t="shared" si="8"/>
        <v>Rohan Mehta</v>
      </c>
      <c r="P14" t="str">
        <f t="shared" si="9"/>
        <v>Rohan Mehta</v>
      </c>
    </row>
    <row r="15" spans="1:16" x14ac:dyDescent="0.3">
      <c r="A15">
        <v>104</v>
      </c>
      <c r="B15" t="s">
        <v>88</v>
      </c>
      <c r="C15" t="s">
        <v>37</v>
      </c>
      <c r="D15" t="s">
        <v>63</v>
      </c>
      <c r="E15">
        <f>44-7700-900223</f>
        <v>-907879</v>
      </c>
      <c r="F15" t="s">
        <v>64</v>
      </c>
      <c r="G15" t="s">
        <v>77</v>
      </c>
      <c r="H15" t="str">
        <f t="shared" si="1"/>
        <v>CX</v>
      </c>
      <c r="I15" t="str">
        <f t="shared" si="2"/>
        <v>UK-</v>
      </c>
      <c r="J15" t="str">
        <f t="shared" si="3"/>
        <v>1004</v>
      </c>
      <c r="K15" t="str">
        <f t="shared" si="4"/>
        <v>Sneha Kapoor</v>
      </c>
      <c r="L15">
        <f t="shared" si="5"/>
        <v>12</v>
      </c>
      <c r="M15" t="str">
        <f t="shared" si="6"/>
        <v xml:space="preserve">       SNEHA KAPOOR</v>
      </c>
      <c r="N15" t="str">
        <f t="shared" si="7"/>
        <v xml:space="preserve">       sneha kapoor</v>
      </c>
      <c r="O15" t="str">
        <f t="shared" si="8"/>
        <v xml:space="preserve">       Sneha Kapoor</v>
      </c>
      <c r="P15" t="str">
        <f t="shared" si="9"/>
        <v>Sneha Kapoor</v>
      </c>
    </row>
    <row r="16" spans="1:16" x14ac:dyDescent="0.3">
      <c r="A16">
        <v>105</v>
      </c>
      <c r="B16" t="s">
        <v>89</v>
      </c>
      <c r="C16" t="s">
        <v>39</v>
      </c>
      <c r="D16" t="s">
        <v>65</v>
      </c>
      <c r="E16">
        <f>1-613-555-2211</f>
        <v>-3378</v>
      </c>
      <c r="F16" t="s">
        <v>66</v>
      </c>
      <c r="G16" t="s">
        <v>78</v>
      </c>
      <c r="H16" t="str">
        <f t="shared" si="1"/>
        <v>CX</v>
      </c>
      <c r="I16" t="str">
        <f t="shared" si="2"/>
        <v>CAN</v>
      </c>
      <c r="J16" t="str">
        <f t="shared" si="3"/>
        <v>1005</v>
      </c>
      <c r="K16" t="str">
        <f t="shared" si="4"/>
        <v>Aditya Singh</v>
      </c>
      <c r="L16">
        <f t="shared" si="5"/>
        <v>12</v>
      </c>
      <c r="M16" t="str">
        <f t="shared" si="6"/>
        <v>ADITYA    SINGH</v>
      </c>
      <c r="N16" t="str">
        <f t="shared" si="7"/>
        <v>aditya    singh</v>
      </c>
      <c r="O16" t="str">
        <f t="shared" si="8"/>
        <v>Aditya    Singh</v>
      </c>
      <c r="P16" t="str">
        <f t="shared" si="9"/>
        <v>Aditya Singh</v>
      </c>
    </row>
    <row r="17" spans="1:16" x14ac:dyDescent="0.3">
      <c r="A17">
        <v>106</v>
      </c>
      <c r="B17" t="s">
        <v>40</v>
      </c>
      <c r="C17" t="s">
        <v>41</v>
      </c>
      <c r="D17" t="s">
        <v>58</v>
      </c>
      <c r="E17">
        <f>91-9811122233</f>
        <v>-9811122142</v>
      </c>
      <c r="F17" t="s">
        <v>67</v>
      </c>
      <c r="G17" t="s">
        <v>79</v>
      </c>
      <c r="H17" t="str">
        <f t="shared" si="1"/>
        <v>CX</v>
      </c>
      <c r="I17" t="str">
        <f t="shared" si="2"/>
        <v>IND</v>
      </c>
      <c r="J17" t="str">
        <f t="shared" si="3"/>
        <v>1006</v>
      </c>
      <c r="K17" t="str">
        <f t="shared" si="4"/>
        <v>Priya Nair</v>
      </c>
      <c r="L17">
        <f t="shared" si="5"/>
        <v>10</v>
      </c>
      <c r="M17" t="str">
        <f t="shared" si="6"/>
        <v>PRIYA NAIR</v>
      </c>
      <c r="N17" t="str">
        <f t="shared" si="7"/>
        <v>priya nair</v>
      </c>
      <c r="O17" t="str">
        <f t="shared" si="8"/>
        <v>Priya Nair</v>
      </c>
      <c r="P17" t="str">
        <f t="shared" si="9"/>
        <v>Priya Nair</v>
      </c>
    </row>
    <row r="18" spans="1:16" x14ac:dyDescent="0.3">
      <c r="A18">
        <v>107</v>
      </c>
      <c r="B18" t="s">
        <v>42</v>
      </c>
      <c r="C18" t="s">
        <v>43</v>
      </c>
      <c r="D18" t="s">
        <v>58</v>
      </c>
      <c r="E18">
        <f>91-9898989898</f>
        <v>-9898989807</v>
      </c>
      <c r="F18" t="s">
        <v>68</v>
      </c>
      <c r="G18" t="s">
        <v>80</v>
      </c>
      <c r="H18" t="str">
        <f t="shared" si="1"/>
        <v>CX</v>
      </c>
      <c r="I18" t="str">
        <f t="shared" si="2"/>
        <v>IND</v>
      </c>
      <c r="J18" t="str">
        <f t="shared" si="3"/>
        <v>1007</v>
      </c>
      <c r="K18" t="str">
        <f t="shared" si="4"/>
        <v>Manish Gupta</v>
      </c>
      <c r="L18">
        <f t="shared" si="5"/>
        <v>12</v>
      </c>
      <c r="M18" t="str">
        <f t="shared" si="6"/>
        <v>MANISH GUPTA</v>
      </c>
      <c r="N18" t="str">
        <f t="shared" si="7"/>
        <v>manish gupta</v>
      </c>
      <c r="O18" t="str">
        <f t="shared" si="8"/>
        <v>Manish Gupta</v>
      </c>
      <c r="P18" t="str">
        <f t="shared" si="9"/>
        <v>Manish Gupta</v>
      </c>
    </row>
    <row r="19" spans="1:16" x14ac:dyDescent="0.3">
      <c r="A19">
        <v>108</v>
      </c>
      <c r="B19" t="s">
        <v>90</v>
      </c>
      <c r="C19" t="s">
        <v>45</v>
      </c>
      <c r="D19" t="s">
        <v>69</v>
      </c>
      <c r="E19">
        <f>61-411-223344</f>
        <v>-223694</v>
      </c>
      <c r="F19" t="s">
        <v>70</v>
      </c>
      <c r="G19" t="s">
        <v>81</v>
      </c>
      <c r="H19" t="str">
        <f t="shared" si="1"/>
        <v>CX</v>
      </c>
      <c r="I19" t="str">
        <f t="shared" si="2"/>
        <v>AUS</v>
      </c>
      <c r="J19" t="str">
        <f t="shared" si="3"/>
        <v>1008</v>
      </c>
      <c r="K19" t="str">
        <f t="shared" si="4"/>
        <v>Kavya Patel</v>
      </c>
      <c r="L19">
        <f t="shared" si="5"/>
        <v>11</v>
      </c>
      <c r="M19" t="str">
        <f t="shared" si="6"/>
        <v xml:space="preserve">     KAVYA PATEL</v>
      </c>
      <c r="N19" t="str">
        <f t="shared" si="7"/>
        <v xml:space="preserve">     kavya patel</v>
      </c>
      <c r="O19" t="str">
        <f t="shared" si="8"/>
        <v xml:space="preserve">     Kavya Patel</v>
      </c>
      <c r="P19" t="str">
        <f t="shared" si="9"/>
        <v>Kavya Patel</v>
      </c>
    </row>
    <row r="20" spans="1:16" x14ac:dyDescent="0.3">
      <c r="A20">
        <v>109</v>
      </c>
      <c r="B20" t="s">
        <v>46</v>
      </c>
      <c r="C20" t="s">
        <v>47</v>
      </c>
      <c r="D20" t="s">
        <v>71</v>
      </c>
      <c r="E20">
        <f>971-55-442233</f>
        <v>-441317</v>
      </c>
      <c r="F20" t="s">
        <v>60</v>
      </c>
      <c r="G20" t="s">
        <v>82</v>
      </c>
      <c r="H20" t="str">
        <f t="shared" si="1"/>
        <v>CX</v>
      </c>
      <c r="I20" t="str">
        <f t="shared" si="2"/>
        <v>UAE</v>
      </c>
      <c r="J20" t="str">
        <f t="shared" si="3"/>
        <v>1009</v>
      </c>
      <c r="K20" t="str">
        <f t="shared" si="4"/>
        <v>Sumit Rao</v>
      </c>
      <c r="L20">
        <f t="shared" si="5"/>
        <v>9</v>
      </c>
      <c r="M20" t="str">
        <f t="shared" si="6"/>
        <v>SUMIT RAO</v>
      </c>
      <c r="N20" t="str">
        <f t="shared" si="7"/>
        <v>sumit rao</v>
      </c>
      <c r="O20" t="str">
        <f t="shared" si="8"/>
        <v>Sumit Rao</v>
      </c>
      <c r="P20" t="str">
        <f t="shared" si="9"/>
        <v>Sumit Rao</v>
      </c>
    </row>
    <row r="21" spans="1:16" x14ac:dyDescent="0.3">
      <c r="A21">
        <v>110</v>
      </c>
      <c r="B21" t="s">
        <v>91</v>
      </c>
      <c r="C21" t="s">
        <v>49</v>
      </c>
      <c r="D21" t="s">
        <v>58</v>
      </c>
      <c r="E21">
        <f>91-7000011122</f>
        <v>-7000011031</v>
      </c>
      <c r="F21" t="s">
        <v>72</v>
      </c>
      <c r="G21" t="s">
        <v>83</v>
      </c>
      <c r="H21" t="str">
        <f t="shared" si="1"/>
        <v>CX</v>
      </c>
      <c r="I21" t="str">
        <f t="shared" si="2"/>
        <v>IND</v>
      </c>
      <c r="J21" t="str">
        <f t="shared" si="3"/>
        <v>1010</v>
      </c>
      <c r="K21" t="str">
        <f t="shared" si="4"/>
        <v>Neha Bansal</v>
      </c>
      <c r="L21">
        <f t="shared" si="5"/>
        <v>11</v>
      </c>
      <c r="M21" t="str">
        <f t="shared" si="6"/>
        <v>NEHA    BANSAL</v>
      </c>
      <c r="N21" t="str">
        <f t="shared" si="7"/>
        <v>neha    bansal</v>
      </c>
      <c r="O21" t="str">
        <f t="shared" si="8"/>
        <v>Neha    Bansal</v>
      </c>
      <c r="P21" t="str">
        <f t="shared" si="9"/>
        <v>Neha Bansal</v>
      </c>
    </row>
    <row r="22" spans="1:16" x14ac:dyDescent="0.3">
      <c r="A22">
        <v>111</v>
      </c>
      <c r="B22" t="s">
        <v>50</v>
      </c>
      <c r="C22" t="s">
        <v>51</v>
      </c>
      <c r="D22" t="s">
        <v>73</v>
      </c>
      <c r="E22">
        <f>49-151-22334455</f>
        <v>-22334557</v>
      </c>
      <c r="F22" t="s">
        <v>62</v>
      </c>
      <c r="G22" t="s">
        <v>84</v>
      </c>
      <c r="H22" t="str">
        <f t="shared" si="1"/>
        <v>CX</v>
      </c>
      <c r="I22" t="str">
        <f t="shared" si="2"/>
        <v>GER</v>
      </c>
      <c r="J22" t="str">
        <f t="shared" si="3"/>
        <v>1011</v>
      </c>
      <c r="K22" t="str">
        <f t="shared" si="4"/>
        <v>Arjun Khanna</v>
      </c>
      <c r="L22">
        <f t="shared" si="5"/>
        <v>12</v>
      </c>
      <c r="M22" t="str">
        <f t="shared" si="6"/>
        <v>ARJUN KHANNA</v>
      </c>
      <c r="N22" t="str">
        <f t="shared" si="7"/>
        <v>arjun khanna</v>
      </c>
      <c r="O22" t="str">
        <f t="shared" si="8"/>
        <v>Arjun Khanna</v>
      </c>
      <c r="P22" t="str">
        <f t="shared" si="9"/>
        <v>Arjun Khanna</v>
      </c>
    </row>
    <row r="23" spans="1:16" x14ac:dyDescent="0.3">
      <c r="A23">
        <v>112</v>
      </c>
      <c r="B23" t="s">
        <v>92</v>
      </c>
      <c r="C23" t="s">
        <v>53</v>
      </c>
      <c r="D23" t="s">
        <v>58</v>
      </c>
      <c r="E23">
        <f>91-7788990022</f>
        <v>-7788989931</v>
      </c>
      <c r="F23" t="s">
        <v>59</v>
      </c>
      <c r="G23" t="s">
        <v>85</v>
      </c>
      <c r="H23" t="str">
        <f t="shared" si="1"/>
        <v>CX</v>
      </c>
      <c r="I23" t="str">
        <f t="shared" si="2"/>
        <v>IND</v>
      </c>
      <c r="J23" t="str">
        <f t="shared" si="3"/>
        <v>1012</v>
      </c>
      <c r="K23" t="str">
        <f t="shared" si="4"/>
        <v>Divya Soni</v>
      </c>
      <c r="L23">
        <f t="shared" si="5"/>
        <v>10</v>
      </c>
      <c r="M23" t="str">
        <f t="shared" si="6"/>
        <v xml:space="preserve">       DIVYA SONI</v>
      </c>
      <c r="N23" t="str">
        <f t="shared" si="7"/>
        <v xml:space="preserve">       divya soni</v>
      </c>
      <c r="O23" t="str">
        <f t="shared" si="8"/>
        <v xml:space="preserve">       Divya Soni</v>
      </c>
      <c r="P23" t="str">
        <f t="shared" si="9"/>
        <v>Divya Soni</v>
      </c>
    </row>
    <row r="27" spans="1:16" s="2" customFormat="1" x14ac:dyDescent="0.3">
      <c r="A27" s="2" t="s">
        <v>28</v>
      </c>
      <c r="B27" s="2" t="s">
        <v>5</v>
      </c>
      <c r="C27" s="2" t="s">
        <v>29</v>
      </c>
      <c r="D27" s="2" t="s">
        <v>55</v>
      </c>
      <c r="E27" s="2" t="s">
        <v>56</v>
      </c>
      <c r="F27" s="2" t="s">
        <v>57</v>
      </c>
      <c r="G27" s="2" t="s">
        <v>7</v>
      </c>
      <c r="H27" s="2" t="s">
        <v>102</v>
      </c>
      <c r="I27" s="2" t="s">
        <v>103</v>
      </c>
      <c r="J27" s="2" t="s">
        <v>104</v>
      </c>
      <c r="K27" s="2" t="s">
        <v>105</v>
      </c>
      <c r="L27" s="2" t="s">
        <v>106</v>
      </c>
      <c r="M27" s="2" t="s">
        <v>107</v>
      </c>
      <c r="N27" s="2" t="s">
        <v>108</v>
      </c>
      <c r="O27" s="2" t="s">
        <v>109</v>
      </c>
    </row>
    <row r="28" spans="1:16" x14ac:dyDescent="0.3">
      <c r="A28">
        <v>101</v>
      </c>
      <c r="B28" t="s">
        <v>30</v>
      </c>
      <c r="C28" t="s">
        <v>31</v>
      </c>
      <c r="D28" t="s">
        <v>58</v>
      </c>
      <c r="E28">
        <f>91-9876543210</f>
        <v>-9876543119</v>
      </c>
      <c r="F28" t="s">
        <v>59</v>
      </c>
      <c r="G28" t="s">
        <v>74</v>
      </c>
      <c r="H28">
        <f>SEARCH("@",C28)</f>
        <v>13</v>
      </c>
      <c r="I28">
        <f>FIND("S",B28)</f>
        <v>7</v>
      </c>
      <c r="J28" t="str">
        <f>LEFT(C28,H28-1)</f>
        <v>aryan.sharma</v>
      </c>
      <c r="K28" t="str">
        <f>LEFT(G28,SEARCH("-",G28)-1)</f>
        <v>CX</v>
      </c>
      <c r="L28" t="str">
        <f>SUBSTITUTE(G28,"-","/")</f>
        <v>CX/IND/001001</v>
      </c>
      <c r="M28" t="str">
        <f>REPLACE(G28,4,6,"INDIA-")</f>
        <v>CX-INDIA-1001</v>
      </c>
      <c r="N28" t="str">
        <f>_xlfn.CONCAT(B28,"|",D28)</f>
        <v>Aryan Sharma|India</v>
      </c>
      <c r="O28" t="str">
        <f>B28&amp;"|"&amp;D28</f>
        <v>Aryan Sharma|India</v>
      </c>
    </row>
    <row r="29" spans="1:16" x14ac:dyDescent="0.3">
      <c r="A29">
        <v>102</v>
      </c>
      <c r="B29" t="s">
        <v>32</v>
      </c>
      <c r="C29" t="s">
        <v>33</v>
      </c>
      <c r="D29" t="s">
        <v>58</v>
      </c>
      <c r="E29">
        <f>91-9876501122</f>
        <v>-9876501031</v>
      </c>
      <c r="F29" t="s">
        <v>60</v>
      </c>
      <c r="G29" t="s">
        <v>75</v>
      </c>
      <c r="H29">
        <f t="shared" ref="H29:H39" si="10">SEARCH("@",C29)</f>
        <v>11</v>
      </c>
      <c r="I29" t="e">
        <f t="shared" ref="I29:I39" si="11">FIND("S",B29)</f>
        <v>#VALUE!</v>
      </c>
      <c r="J29" t="str">
        <f t="shared" ref="J29:J39" si="12">LEFT(C29,H29-1)</f>
        <v>riya.verma</v>
      </c>
      <c r="K29" t="str">
        <f t="shared" ref="K29:K39" si="13">LEFT(G29,SEARCH("-",G29)-1)</f>
        <v>CX</v>
      </c>
      <c r="L29" t="str">
        <f t="shared" ref="L29:L39" si="14">SUBSTITUTE(G29,"-","/")</f>
        <v>CX/IND/001002</v>
      </c>
      <c r="M29" t="str">
        <f t="shared" ref="M29:M39" si="15">REPLACE(G29,4,6,"INDIA-")</f>
        <v>CX-INDIA-1002</v>
      </c>
      <c r="N29" t="str">
        <f t="shared" ref="N29:N39" si="16">_xlfn.CONCAT(B29,"|",D29)</f>
        <v>Riya Verma|India</v>
      </c>
      <c r="O29" t="str">
        <f t="shared" ref="O29:O39" si="17">B29&amp;"|"&amp;D29</f>
        <v>Riya Verma|India</v>
      </c>
    </row>
    <row r="30" spans="1:16" x14ac:dyDescent="0.3">
      <c r="A30">
        <v>103</v>
      </c>
      <c r="B30" t="s">
        <v>34</v>
      </c>
      <c r="C30" t="s">
        <v>35</v>
      </c>
      <c r="D30" t="s">
        <v>61</v>
      </c>
      <c r="E30">
        <f>1-408-555-3322</f>
        <v>-4284</v>
      </c>
      <c r="F30" t="s">
        <v>62</v>
      </c>
      <c r="G30" t="s">
        <v>76</v>
      </c>
      <c r="H30">
        <f t="shared" si="10"/>
        <v>12</v>
      </c>
      <c r="I30" t="e">
        <f t="shared" si="11"/>
        <v>#VALUE!</v>
      </c>
      <c r="J30" t="str">
        <f t="shared" si="12"/>
        <v>rohan.mehta</v>
      </c>
      <c r="K30" t="str">
        <f t="shared" si="13"/>
        <v>CX</v>
      </c>
      <c r="L30" t="str">
        <f t="shared" si="14"/>
        <v>CX/USA/001003</v>
      </c>
      <c r="M30" t="str">
        <f t="shared" si="15"/>
        <v>CX-INDIA-1003</v>
      </c>
      <c r="N30" t="str">
        <f t="shared" si="16"/>
        <v>Rohan Mehta|USA</v>
      </c>
      <c r="O30" t="str">
        <f t="shared" si="17"/>
        <v>Rohan Mehta|USA</v>
      </c>
    </row>
    <row r="31" spans="1:16" x14ac:dyDescent="0.3">
      <c r="A31">
        <v>104</v>
      </c>
      <c r="B31" t="s">
        <v>36</v>
      </c>
      <c r="C31" t="s">
        <v>37</v>
      </c>
      <c r="D31" t="s">
        <v>63</v>
      </c>
      <c r="E31">
        <f>44-7700-900223</f>
        <v>-907879</v>
      </c>
      <c r="F31" t="s">
        <v>64</v>
      </c>
      <c r="G31" t="s">
        <v>77</v>
      </c>
      <c r="H31">
        <f t="shared" si="10"/>
        <v>13</v>
      </c>
      <c r="I31">
        <f t="shared" si="11"/>
        <v>1</v>
      </c>
      <c r="J31" t="str">
        <f t="shared" si="12"/>
        <v>sneha.kapoor</v>
      </c>
      <c r="K31" t="str">
        <f t="shared" si="13"/>
        <v>CX</v>
      </c>
      <c r="L31" t="str">
        <f t="shared" si="14"/>
        <v>CX/UK/001004</v>
      </c>
      <c r="M31" t="str">
        <f t="shared" si="15"/>
        <v>CX-INDIA-004</v>
      </c>
      <c r="N31" t="str">
        <f t="shared" si="16"/>
        <v>Sneha Kapoor|UK</v>
      </c>
      <c r="O31" t="str">
        <f t="shared" si="17"/>
        <v>Sneha Kapoor|UK</v>
      </c>
    </row>
    <row r="32" spans="1:16" x14ac:dyDescent="0.3">
      <c r="A32">
        <v>105</v>
      </c>
      <c r="B32" t="s">
        <v>38</v>
      </c>
      <c r="C32" t="s">
        <v>39</v>
      </c>
      <c r="D32" t="s">
        <v>65</v>
      </c>
      <c r="E32">
        <f>1-613-555-2211</f>
        <v>-3378</v>
      </c>
      <c r="F32" t="s">
        <v>66</v>
      </c>
      <c r="G32" t="s">
        <v>78</v>
      </c>
      <c r="H32">
        <f t="shared" si="10"/>
        <v>13</v>
      </c>
      <c r="I32">
        <f t="shared" si="11"/>
        <v>8</v>
      </c>
      <c r="J32" t="str">
        <f t="shared" si="12"/>
        <v>aditya.singh</v>
      </c>
      <c r="K32" t="str">
        <f t="shared" si="13"/>
        <v>CX</v>
      </c>
      <c r="L32" t="str">
        <f t="shared" si="14"/>
        <v>CX/CAN/001005</v>
      </c>
      <c r="M32" t="str">
        <f t="shared" si="15"/>
        <v>CX-INDIA-1005</v>
      </c>
      <c r="N32" t="str">
        <f t="shared" si="16"/>
        <v>Aditya Singh|Canada</v>
      </c>
      <c r="O32" t="str">
        <f t="shared" si="17"/>
        <v>Aditya Singh|Canada</v>
      </c>
    </row>
    <row r="33" spans="1:15" x14ac:dyDescent="0.3">
      <c r="A33">
        <v>106</v>
      </c>
      <c r="B33" t="s">
        <v>40</v>
      </c>
      <c r="C33" t="s">
        <v>41</v>
      </c>
      <c r="D33" t="s">
        <v>58</v>
      </c>
      <c r="E33">
        <f>91-9811122233</f>
        <v>-9811122142</v>
      </c>
      <c r="F33" t="s">
        <v>67</v>
      </c>
      <c r="G33" t="s">
        <v>79</v>
      </c>
      <c r="H33">
        <f t="shared" si="10"/>
        <v>11</v>
      </c>
      <c r="I33" t="e">
        <f t="shared" si="11"/>
        <v>#VALUE!</v>
      </c>
      <c r="J33" t="str">
        <f t="shared" si="12"/>
        <v>priya.nair</v>
      </c>
      <c r="K33" t="str">
        <f t="shared" si="13"/>
        <v>CX</v>
      </c>
      <c r="L33" t="str">
        <f t="shared" si="14"/>
        <v>CX/IND/001006</v>
      </c>
      <c r="M33" t="str">
        <f t="shared" si="15"/>
        <v>CX-INDIA-1006</v>
      </c>
      <c r="N33" t="str">
        <f t="shared" si="16"/>
        <v>Priya Nair|India</v>
      </c>
      <c r="O33" t="str">
        <f t="shared" si="17"/>
        <v>Priya Nair|India</v>
      </c>
    </row>
    <row r="34" spans="1:15" x14ac:dyDescent="0.3">
      <c r="A34">
        <v>107</v>
      </c>
      <c r="B34" t="s">
        <v>42</v>
      </c>
      <c r="C34" t="s">
        <v>43</v>
      </c>
      <c r="D34" t="s">
        <v>58</v>
      </c>
      <c r="E34">
        <f>91-9898989898</f>
        <v>-9898989807</v>
      </c>
      <c r="F34" t="s">
        <v>68</v>
      </c>
      <c r="G34" t="s">
        <v>80</v>
      </c>
      <c r="H34">
        <f t="shared" si="10"/>
        <v>13</v>
      </c>
      <c r="I34" t="e">
        <f t="shared" si="11"/>
        <v>#VALUE!</v>
      </c>
      <c r="J34" t="str">
        <f t="shared" si="12"/>
        <v>manish.gupta</v>
      </c>
      <c r="K34" t="str">
        <f t="shared" si="13"/>
        <v>CX</v>
      </c>
      <c r="L34" t="str">
        <f t="shared" si="14"/>
        <v>CX/IND/001007</v>
      </c>
      <c r="M34" t="str">
        <f t="shared" si="15"/>
        <v>CX-INDIA-1007</v>
      </c>
      <c r="N34" t="str">
        <f t="shared" si="16"/>
        <v>Manish Gupta|India</v>
      </c>
      <c r="O34" t="str">
        <f t="shared" si="17"/>
        <v>Manish Gupta|India</v>
      </c>
    </row>
    <row r="35" spans="1:15" x14ac:dyDescent="0.3">
      <c r="A35">
        <v>108</v>
      </c>
      <c r="B35" t="s">
        <v>44</v>
      </c>
      <c r="C35" t="s">
        <v>45</v>
      </c>
      <c r="D35" t="s">
        <v>69</v>
      </c>
      <c r="E35">
        <f>61-411-223344</f>
        <v>-223694</v>
      </c>
      <c r="F35" t="s">
        <v>70</v>
      </c>
      <c r="G35" t="s">
        <v>81</v>
      </c>
      <c r="H35">
        <f t="shared" si="10"/>
        <v>12</v>
      </c>
      <c r="I35" t="e">
        <f t="shared" si="11"/>
        <v>#VALUE!</v>
      </c>
      <c r="J35" t="str">
        <f t="shared" si="12"/>
        <v>kavya.patel</v>
      </c>
      <c r="K35" t="str">
        <f t="shared" si="13"/>
        <v>CX</v>
      </c>
      <c r="L35" t="str">
        <f t="shared" si="14"/>
        <v>CX/AUS/001008</v>
      </c>
      <c r="M35" t="str">
        <f t="shared" si="15"/>
        <v>CX-INDIA-1008</v>
      </c>
      <c r="N35" t="str">
        <f t="shared" si="16"/>
        <v>Kavya Patel|Australia</v>
      </c>
      <c r="O35" t="str">
        <f t="shared" si="17"/>
        <v>Kavya Patel|Australia</v>
      </c>
    </row>
    <row r="36" spans="1:15" x14ac:dyDescent="0.3">
      <c r="A36">
        <v>109</v>
      </c>
      <c r="B36" t="s">
        <v>46</v>
      </c>
      <c r="C36" t="s">
        <v>47</v>
      </c>
      <c r="D36" t="s">
        <v>71</v>
      </c>
      <c r="E36">
        <f>971-55-442233</f>
        <v>-441317</v>
      </c>
      <c r="F36" t="s">
        <v>60</v>
      </c>
      <c r="G36" t="s">
        <v>82</v>
      </c>
      <c r="H36">
        <f t="shared" si="10"/>
        <v>10</v>
      </c>
      <c r="I36">
        <f t="shared" si="11"/>
        <v>1</v>
      </c>
      <c r="J36" t="str">
        <f t="shared" si="12"/>
        <v>sumit.rao</v>
      </c>
      <c r="K36" t="str">
        <f t="shared" si="13"/>
        <v>CX</v>
      </c>
      <c r="L36" t="str">
        <f t="shared" si="14"/>
        <v>CX/UAE/001009</v>
      </c>
      <c r="M36" t="str">
        <f t="shared" si="15"/>
        <v>CX-INDIA-1009</v>
      </c>
      <c r="N36" t="str">
        <f t="shared" si="16"/>
        <v>Sumit Rao|UAE</v>
      </c>
      <c r="O36" t="str">
        <f t="shared" si="17"/>
        <v>Sumit Rao|UAE</v>
      </c>
    </row>
    <row r="37" spans="1:15" x14ac:dyDescent="0.3">
      <c r="A37">
        <v>110</v>
      </c>
      <c r="B37" t="s">
        <v>48</v>
      </c>
      <c r="C37" t="s">
        <v>49</v>
      </c>
      <c r="D37" t="s">
        <v>58</v>
      </c>
      <c r="E37">
        <f>91-7000011122</f>
        <v>-7000011031</v>
      </c>
      <c r="F37" t="s">
        <v>72</v>
      </c>
      <c r="G37" t="s">
        <v>83</v>
      </c>
      <c r="H37">
        <f t="shared" si="10"/>
        <v>12</v>
      </c>
      <c r="I37" t="e">
        <f t="shared" si="11"/>
        <v>#VALUE!</v>
      </c>
      <c r="J37" t="str">
        <f t="shared" si="12"/>
        <v>neha.bansal</v>
      </c>
      <c r="K37" t="str">
        <f t="shared" si="13"/>
        <v>CX</v>
      </c>
      <c r="L37" t="str">
        <f t="shared" si="14"/>
        <v>CX/IND/001010</v>
      </c>
      <c r="M37" t="str">
        <f t="shared" si="15"/>
        <v>CX-INDIA-1010</v>
      </c>
      <c r="N37" t="str">
        <f t="shared" si="16"/>
        <v>Neha Bansal|India</v>
      </c>
      <c r="O37" t="str">
        <f t="shared" si="17"/>
        <v>Neha Bansal|India</v>
      </c>
    </row>
    <row r="38" spans="1:15" x14ac:dyDescent="0.3">
      <c r="A38">
        <v>111</v>
      </c>
      <c r="B38" t="s">
        <v>50</v>
      </c>
      <c r="C38" t="s">
        <v>51</v>
      </c>
      <c r="D38" t="s">
        <v>73</v>
      </c>
      <c r="E38">
        <f>49-151-22334455</f>
        <v>-22334557</v>
      </c>
      <c r="F38" t="s">
        <v>62</v>
      </c>
      <c r="G38" t="s">
        <v>84</v>
      </c>
      <c r="H38">
        <f t="shared" si="10"/>
        <v>13</v>
      </c>
      <c r="I38" t="e">
        <f t="shared" si="11"/>
        <v>#VALUE!</v>
      </c>
      <c r="J38" t="str">
        <f t="shared" si="12"/>
        <v>arjun.khanna</v>
      </c>
      <c r="K38" t="str">
        <f t="shared" si="13"/>
        <v>CX</v>
      </c>
      <c r="L38" t="str">
        <f t="shared" si="14"/>
        <v>CX/GER/001011</v>
      </c>
      <c r="M38" t="str">
        <f t="shared" si="15"/>
        <v>CX-INDIA-1011</v>
      </c>
      <c r="N38" t="str">
        <f t="shared" si="16"/>
        <v>Arjun Khanna|Germany</v>
      </c>
      <c r="O38" t="str">
        <f t="shared" si="17"/>
        <v>Arjun Khanna|Germany</v>
      </c>
    </row>
    <row r="39" spans="1:15" x14ac:dyDescent="0.3">
      <c r="A39">
        <v>112</v>
      </c>
      <c r="B39" t="s">
        <v>52</v>
      </c>
      <c r="C39" t="s">
        <v>53</v>
      </c>
      <c r="D39" t="s">
        <v>58</v>
      </c>
      <c r="E39">
        <f>91-7788990022</f>
        <v>-7788989931</v>
      </c>
      <c r="F39" t="s">
        <v>59</v>
      </c>
      <c r="G39" t="s">
        <v>85</v>
      </c>
      <c r="H39">
        <f t="shared" si="10"/>
        <v>11</v>
      </c>
      <c r="I39">
        <f t="shared" si="11"/>
        <v>7</v>
      </c>
      <c r="J39" t="str">
        <f t="shared" si="12"/>
        <v>divya.soni</v>
      </c>
      <c r="K39" t="str">
        <f t="shared" si="13"/>
        <v>CX</v>
      </c>
      <c r="L39" t="str">
        <f t="shared" si="14"/>
        <v>CX/IND/001012</v>
      </c>
      <c r="M39" t="str">
        <f t="shared" si="15"/>
        <v>CX-INDIA-1012</v>
      </c>
      <c r="N39" t="str">
        <f t="shared" si="16"/>
        <v>Divya Soni|India</v>
      </c>
      <c r="O39" t="str">
        <f t="shared" si="17"/>
        <v>Divya Soni|India</v>
      </c>
    </row>
    <row r="44" spans="1:15" s="1" customFormat="1" x14ac:dyDescent="0.3">
      <c r="A44" s="1" t="s">
        <v>28</v>
      </c>
      <c r="B44" s="1" t="s">
        <v>5</v>
      </c>
      <c r="C44" s="1" t="s">
        <v>29</v>
      </c>
      <c r="D44" s="1" t="s">
        <v>55</v>
      </c>
      <c r="E44" s="1" t="s">
        <v>56</v>
      </c>
      <c r="F44" s="1" t="s">
        <v>57</v>
      </c>
      <c r="G44" s="1" t="s">
        <v>7</v>
      </c>
      <c r="H44" s="1" t="s">
        <v>110</v>
      </c>
      <c r="I44" s="1" t="s">
        <v>110</v>
      </c>
    </row>
    <row r="45" spans="1:15" x14ac:dyDescent="0.3">
      <c r="A45">
        <v>101</v>
      </c>
      <c r="B45" t="s">
        <v>86</v>
      </c>
      <c r="C45" t="s">
        <v>31</v>
      </c>
      <c r="D45" t="s">
        <v>58</v>
      </c>
      <c r="E45">
        <f>91-9876543210</f>
        <v>-9876543119</v>
      </c>
      <c r="F45" t="s">
        <v>59</v>
      </c>
      <c r="G45" t="s">
        <v>74</v>
      </c>
      <c r="H45" t="str">
        <f>_xlfn.TEXTJOIN("| ",TRUE,B45,E45)</f>
        <v>Aryan   Sharma| -9876543119</v>
      </c>
      <c r="I45" t="str">
        <f>_xlfn.TEXTJOIN("|",FALSE,B45,E45)</f>
        <v>Aryan   Sharma|-9876543119</v>
      </c>
    </row>
    <row r="46" spans="1:15" x14ac:dyDescent="0.3">
      <c r="A46">
        <v>102</v>
      </c>
      <c r="B46" t="s">
        <v>87</v>
      </c>
      <c r="C46" t="s">
        <v>33</v>
      </c>
      <c r="D46" t="s">
        <v>58</v>
      </c>
      <c r="E46">
        <f>91-9876501122</f>
        <v>-9876501031</v>
      </c>
      <c r="F46" t="s">
        <v>60</v>
      </c>
      <c r="G46" t="s">
        <v>75</v>
      </c>
      <c r="H46" t="str">
        <f t="shared" ref="H46:H56" si="18">_xlfn.TEXTJOIN("| ",TRUE,B46,E46)</f>
        <v xml:space="preserve">     Riya Verma| -9876501031</v>
      </c>
      <c r="I46" t="str">
        <f t="shared" ref="I46:I56" si="19">_xlfn.TEXTJOIN("|",FALSE,B46,E46)</f>
        <v xml:space="preserve">     Riya Verma|-9876501031</v>
      </c>
    </row>
    <row r="47" spans="1:15" x14ac:dyDescent="0.3">
      <c r="A47">
        <v>103</v>
      </c>
      <c r="B47" t="s">
        <v>34</v>
      </c>
      <c r="C47" t="s">
        <v>35</v>
      </c>
      <c r="D47" t="s">
        <v>61</v>
      </c>
      <c r="E47">
        <f>1-408-555-3322</f>
        <v>-4284</v>
      </c>
      <c r="F47" t="s">
        <v>62</v>
      </c>
      <c r="G47" t="s">
        <v>76</v>
      </c>
      <c r="H47" t="str">
        <f t="shared" si="18"/>
        <v>Rohan Mehta| -4284</v>
      </c>
      <c r="I47" t="str">
        <f t="shared" si="19"/>
        <v>Rohan Mehta|-4284</v>
      </c>
    </row>
    <row r="48" spans="1:15" x14ac:dyDescent="0.3">
      <c r="A48">
        <v>104</v>
      </c>
      <c r="B48" t="s">
        <v>88</v>
      </c>
      <c r="C48" t="s">
        <v>37</v>
      </c>
      <c r="D48" t="s">
        <v>63</v>
      </c>
      <c r="F48" t="s">
        <v>64</v>
      </c>
      <c r="G48" t="s">
        <v>77</v>
      </c>
      <c r="H48" t="str">
        <f t="shared" si="18"/>
        <v xml:space="preserve">       Sneha Kapoor</v>
      </c>
      <c r="I48" t="str">
        <f t="shared" si="19"/>
        <v xml:space="preserve">       Sneha Kapoor|</v>
      </c>
    </row>
    <row r="49" spans="1:9" x14ac:dyDescent="0.3">
      <c r="A49">
        <v>105</v>
      </c>
      <c r="B49" t="s">
        <v>89</v>
      </c>
      <c r="C49" t="s">
        <v>39</v>
      </c>
      <c r="D49" t="s">
        <v>65</v>
      </c>
      <c r="E49">
        <f>1-613-555-2211</f>
        <v>-3378</v>
      </c>
      <c r="F49" t="s">
        <v>66</v>
      </c>
      <c r="G49" t="s">
        <v>78</v>
      </c>
      <c r="H49" t="str">
        <f t="shared" si="18"/>
        <v>Aditya    Singh| -3378</v>
      </c>
      <c r="I49" t="str">
        <f t="shared" si="19"/>
        <v>Aditya    Singh|-3378</v>
      </c>
    </row>
    <row r="50" spans="1:9" x14ac:dyDescent="0.3">
      <c r="A50">
        <v>106</v>
      </c>
      <c r="B50" t="s">
        <v>40</v>
      </c>
      <c r="C50" t="s">
        <v>41</v>
      </c>
      <c r="D50" t="s">
        <v>58</v>
      </c>
      <c r="E50">
        <f>91-9811122233</f>
        <v>-9811122142</v>
      </c>
      <c r="F50" t="s">
        <v>67</v>
      </c>
      <c r="G50" t="s">
        <v>79</v>
      </c>
      <c r="H50" t="str">
        <f t="shared" si="18"/>
        <v>Priya Nair| -9811122142</v>
      </c>
      <c r="I50" t="str">
        <f t="shared" si="19"/>
        <v>Priya Nair|-9811122142</v>
      </c>
    </row>
    <row r="51" spans="1:9" x14ac:dyDescent="0.3">
      <c r="A51">
        <v>107</v>
      </c>
      <c r="B51" t="s">
        <v>42</v>
      </c>
      <c r="C51" t="s">
        <v>43</v>
      </c>
      <c r="D51" t="s">
        <v>58</v>
      </c>
      <c r="E51">
        <f>91-9898989898</f>
        <v>-9898989807</v>
      </c>
      <c r="F51" t="s">
        <v>68</v>
      </c>
      <c r="G51" t="s">
        <v>80</v>
      </c>
      <c r="H51" t="str">
        <f t="shared" si="18"/>
        <v>Manish Gupta| -9898989807</v>
      </c>
      <c r="I51" t="str">
        <f t="shared" si="19"/>
        <v>Manish Gupta|-9898989807</v>
      </c>
    </row>
    <row r="52" spans="1:9" x14ac:dyDescent="0.3">
      <c r="A52">
        <v>108</v>
      </c>
      <c r="B52" t="s">
        <v>90</v>
      </c>
      <c r="C52" t="s">
        <v>45</v>
      </c>
      <c r="D52" t="s">
        <v>69</v>
      </c>
      <c r="F52" t="s">
        <v>70</v>
      </c>
      <c r="G52" t="s">
        <v>81</v>
      </c>
      <c r="H52" t="str">
        <f t="shared" si="18"/>
        <v xml:space="preserve">     Kavya Patel</v>
      </c>
      <c r="I52" t="str">
        <f t="shared" si="19"/>
        <v xml:space="preserve">     Kavya Patel|</v>
      </c>
    </row>
    <row r="53" spans="1:9" x14ac:dyDescent="0.3">
      <c r="A53">
        <v>109</v>
      </c>
      <c r="B53" t="s">
        <v>46</v>
      </c>
      <c r="C53" t="s">
        <v>47</v>
      </c>
      <c r="D53" t="s">
        <v>71</v>
      </c>
      <c r="E53">
        <f>971-55-442233</f>
        <v>-441317</v>
      </c>
      <c r="F53" t="s">
        <v>60</v>
      </c>
      <c r="G53" t="s">
        <v>82</v>
      </c>
      <c r="H53" t="str">
        <f t="shared" si="18"/>
        <v>Sumit Rao| -441317</v>
      </c>
      <c r="I53" t="str">
        <f t="shared" si="19"/>
        <v>Sumit Rao|-441317</v>
      </c>
    </row>
    <row r="54" spans="1:9" x14ac:dyDescent="0.3">
      <c r="A54">
        <v>110</v>
      </c>
      <c r="B54" t="s">
        <v>91</v>
      </c>
      <c r="C54" t="s">
        <v>49</v>
      </c>
      <c r="D54" t="s">
        <v>58</v>
      </c>
      <c r="F54" t="s">
        <v>72</v>
      </c>
      <c r="G54" t="s">
        <v>83</v>
      </c>
      <c r="H54" t="str">
        <f t="shared" si="18"/>
        <v>Neha    Bansal</v>
      </c>
      <c r="I54" t="str">
        <f t="shared" si="19"/>
        <v>Neha    Bansal|</v>
      </c>
    </row>
    <row r="55" spans="1:9" x14ac:dyDescent="0.3">
      <c r="A55">
        <v>111</v>
      </c>
      <c r="B55" t="s">
        <v>50</v>
      </c>
      <c r="C55" t="s">
        <v>51</v>
      </c>
      <c r="D55" t="s">
        <v>73</v>
      </c>
      <c r="E55">
        <f>49-151-22334455</f>
        <v>-22334557</v>
      </c>
      <c r="F55" t="s">
        <v>62</v>
      </c>
      <c r="G55" t="s">
        <v>84</v>
      </c>
      <c r="H55" t="str">
        <f t="shared" si="18"/>
        <v>Arjun Khanna| -22334557</v>
      </c>
      <c r="I55" t="str">
        <f t="shared" si="19"/>
        <v>Arjun Khanna|-22334557</v>
      </c>
    </row>
    <row r="56" spans="1:9" x14ac:dyDescent="0.3">
      <c r="A56">
        <v>112</v>
      </c>
      <c r="B56" t="s">
        <v>92</v>
      </c>
      <c r="C56" t="s">
        <v>53</v>
      </c>
      <c r="D56" t="s">
        <v>58</v>
      </c>
      <c r="E56">
        <f>91-7788990022</f>
        <v>-7788989931</v>
      </c>
      <c r="F56" t="s">
        <v>59</v>
      </c>
      <c r="G56" t="s">
        <v>85</v>
      </c>
      <c r="H56" t="str">
        <f t="shared" si="18"/>
        <v xml:space="preserve">       Divya Soni| -7788989931</v>
      </c>
      <c r="I56" t="str">
        <f t="shared" si="19"/>
        <v xml:space="preserve">       Divya Soni|-7788989931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k</dc:creator>
  <cp:lastModifiedBy>a k</cp:lastModifiedBy>
  <dcterms:created xsi:type="dcterms:W3CDTF">2025-11-19T07:49:53Z</dcterms:created>
  <dcterms:modified xsi:type="dcterms:W3CDTF">2025-11-19T08:42:54Z</dcterms:modified>
</cp:coreProperties>
</file>