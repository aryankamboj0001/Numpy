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"/>
    </mc:Choice>
  </mc:AlternateContent>
  <xr:revisionPtr revIDLastSave="0" documentId="8_{30601CCD-4CB8-43C5-A75D-D24B8AB0E6DB}" xr6:coauthVersionLast="47" xr6:coauthVersionMax="47" xr10:uidLastSave="{00000000-0000-0000-0000-000000000000}"/>
  <bookViews>
    <workbookView xWindow="-108" yWindow="-108" windowWidth="23256" windowHeight="12456" xr2:uid="{3E073DE5-21EF-420F-8851-07AA1EBE26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/>
  <c r="L3" i="1"/>
  <c r="L4" i="1"/>
  <c r="L5" i="1"/>
  <c r="L7" i="1"/>
  <c r="L2" i="1"/>
  <c r="K3" i="1" a="1"/>
  <c r="K3" i="1" s="1"/>
  <c r="K4" i="1" a="1"/>
  <c r="K4" i="1" s="1"/>
  <c r="K5" i="1" a="1"/>
  <c r="K5" i="1" s="1"/>
  <c r="K6" i="1" a="1"/>
  <c r="K6" i="1" s="1"/>
  <c r="K7" i="1" a="1"/>
  <c r="K7" i="1"/>
  <c r="K2" i="1" a="1"/>
  <c r="K2" i="1" s="1"/>
  <c r="J3" i="1" a="1"/>
  <c r="J3" i="1" s="1"/>
  <c r="J4" i="1" a="1"/>
  <c r="J4" i="1" s="1"/>
  <c r="J5" i="1" a="1"/>
  <c r="J5" i="1" s="1"/>
  <c r="J6" i="1" a="1"/>
  <c r="J6" i="1" s="1"/>
  <c r="J7" i="1" a="1"/>
  <c r="J7" i="1" s="1"/>
  <c r="J2" i="1" a="1"/>
  <c r="J2" i="1" s="1"/>
  <c r="I3" i="1"/>
  <c r="I4" i="1"/>
  <c r="I5" i="1"/>
  <c r="I6" i="1"/>
  <c r="I7" i="1"/>
  <c r="I2" i="1"/>
  <c r="H3" i="1"/>
  <c r="H4" i="1"/>
  <c r="H5" i="1"/>
  <c r="H6" i="1"/>
  <c r="H7" i="1"/>
  <c r="H2" i="1"/>
  <c r="G2" i="1"/>
  <c r="G3" i="1"/>
  <c r="G4" i="1"/>
  <c r="G5" i="1"/>
  <c r="G6" i="1"/>
  <c r="G7" i="1"/>
  <c r="F3" i="1"/>
  <c r="F4" i="1"/>
  <c r="F5" i="1"/>
  <c r="F6" i="1"/>
  <c r="F7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<sst xmlns="http://schemas.openxmlformats.org/spreadsheetml/2006/main" count="32" uniqueCount="29">
  <si>
    <t>name</t>
  </si>
  <si>
    <t>aryan</t>
  </si>
  <si>
    <t>virat</t>
  </si>
  <si>
    <t>rohit</t>
  </si>
  <si>
    <t>bumbra</t>
  </si>
  <si>
    <t>jadeja</t>
  </si>
  <si>
    <t>age</t>
  </si>
  <si>
    <t>tilak</t>
  </si>
  <si>
    <t>Dept</t>
  </si>
  <si>
    <t>IT</t>
  </si>
  <si>
    <t>cricket</t>
  </si>
  <si>
    <t>HR</t>
  </si>
  <si>
    <t>Finance</t>
  </si>
  <si>
    <t>salary</t>
  </si>
  <si>
    <t>Performance</t>
  </si>
  <si>
    <t>good</t>
  </si>
  <si>
    <t>poor</t>
  </si>
  <si>
    <t>nice</t>
  </si>
  <si>
    <t>average</t>
  </si>
  <si>
    <t>excellent</t>
  </si>
  <si>
    <t>high/low</t>
  </si>
  <si>
    <t>IT/HIGH</t>
  </si>
  <si>
    <t>is special</t>
  </si>
  <si>
    <t>is hr</t>
  </si>
  <si>
    <t>Employe Grade</t>
  </si>
  <si>
    <t>Dept full name</t>
  </si>
  <si>
    <t xml:space="preserve"> </t>
  </si>
  <si>
    <t>Bonus</t>
  </si>
  <si>
    <r>
      <rPr>
        <b/>
        <sz val="18"/>
        <color theme="1"/>
        <rFont val="Calibri"/>
        <family val="2"/>
        <scheme val="minor"/>
      </rPr>
      <t>LEARN HOW TO USES AND,OR,NOT,SWITCH,NESTED IF AND IF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</si>
</sst>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A659-DE2D-4DFB-AA22-AD65DA0DAEFE}">
  <dimension ref="A1:L13"/>
  <sheetViews>
    <sheetView tabSelected="1" workbookViewId="0">
      <selection activeCell="C16" sqref="C16"/>
    </sheetView>
  </sheetViews>
  <sheetFormatPr defaultRowHeight="14.4" x14ac:dyDescent="0.3"/>
  <cols>
    <col min="5" max="5" width="11.5546875" bestFit="1" customWidth="1"/>
    <col min="6" max="8" width="8.88671875" customWidth="1"/>
    <col min="10" max="10" width="13.88671875" bestFit="1" customWidth="1"/>
    <col min="11" max="11" width="25.5546875" bestFit="1" customWidth="1"/>
  </cols>
  <sheetData>
    <row r="1" spans="1:12" s="1" customFormat="1" x14ac:dyDescent="0.3">
      <c r="A1" s="1" t="s">
        <v>0</v>
      </c>
      <c r="B1" s="1" t="s">
        <v>6</v>
      </c>
      <c r="C1" s="1" t="s">
        <v>8</v>
      </c>
      <c r="D1" s="1" t="s">
        <v>13</v>
      </c>
      <c r="E1" s="1" t="s">
        <v>14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27</v>
      </c>
    </row>
    <row r="2" spans="1:12" x14ac:dyDescent="0.3">
      <c r="A2" t="s">
        <v>1</v>
      </c>
      <c r="B2">
        <v>21</v>
      </c>
      <c r="C2" t="s">
        <v>9</v>
      </c>
      <c r="D2">
        <v>90000</v>
      </c>
      <c r="E2" t="s">
        <v>19</v>
      </c>
      <c r="F2" t="str">
        <f>IF(D2&gt;=50000,"high","low")</f>
        <v>high</v>
      </c>
      <c r="G2" t="str">
        <f>IF(AND(D2&gt;=50000,C2="IT"),"IT-HIGH","other")</f>
        <v>IT-HIGH</v>
      </c>
      <c r="H2" t="str">
        <f>IF(OR(D2&gt;70000,B2&lt;25),"special","normal")</f>
        <v>special</v>
      </c>
      <c r="I2" t="str">
        <f>IF(NOT(C2="hr"),"other","hr")</f>
        <v>other</v>
      </c>
      <c r="J2" t="str" cm="1">
        <f t="array" ref="J2">_xlfn.IFS(D2&gt;70000,"A",D2&gt;=50000,"B",D2&gt;=40000,"C",TRUE,"D")</f>
        <v>A</v>
      </c>
      <c r="K2" t="str" cm="1">
        <f t="array" ref="K2">_xlfn.SWITCH(C2,"IT","INFORMATION TECHNOLOGY","HR","HUMAN RESOURCE","FINANCE","ACCOUNTANT","OTHER")</f>
        <v>INFORMATION TECHNOLOGY</v>
      </c>
      <c r="L2">
        <f>IF(E2="excellent",10000,IF(E2="good",5000,IF(E2="average",2000,IF(E2="poor",0))))</f>
        <v>10000</v>
      </c>
    </row>
    <row r="3" spans="1:12" x14ac:dyDescent="0.3">
      <c r="A3" t="s">
        <v>2</v>
      </c>
      <c r="B3">
        <v>37</v>
      </c>
      <c r="C3" t="s">
        <v>10</v>
      </c>
      <c r="D3">
        <v>50000</v>
      </c>
      <c r="E3" t="s">
        <v>15</v>
      </c>
      <c r="F3" t="str">
        <f t="shared" ref="F3:F7" si="0">IF(D3&gt;=50000,"high","low")</f>
        <v>high</v>
      </c>
      <c r="G3" t="str">
        <f t="shared" ref="G3:G7" si="1">IF(AND(D3&gt;=50000,C3="IT"),"IT-HIGH","other")</f>
        <v>other</v>
      </c>
      <c r="H3" t="str">
        <f t="shared" ref="H3:H7" si="2">IF(OR(D3&gt;70000,B3&lt;25),"special","normal")</f>
        <v>normal</v>
      </c>
      <c r="I3" t="str">
        <f t="shared" ref="I3:I7" si="3">IF(NOT(C3="hr"),"other","hr")</f>
        <v>other</v>
      </c>
      <c r="J3" t="str" cm="1">
        <f t="array" ref="J3">_xlfn.IFS(D3&gt;70000,"A",D3&gt;=50000,"B",D3&gt;=40000,"C",TRUE,"D")</f>
        <v>B</v>
      </c>
      <c r="K3" t="str" cm="1">
        <f t="array" ref="K3">_xlfn.SWITCH(C3,"IT","INFORMATION TECHNOLOGY","HR","HUMAN RESOURCE","FINANCE","ACCOUNTANT","OTHER")</f>
        <v>OTHER</v>
      </c>
      <c r="L3">
        <f t="shared" ref="L3:L7" si="4">IF(E3="excellent",10000,IF(E3="good",5000,IF(E3="average",2000,IF(E3="poor",0))))</f>
        <v>5000</v>
      </c>
    </row>
    <row r="4" spans="1:12" x14ac:dyDescent="0.3">
      <c r="A4" t="s">
        <v>3</v>
      </c>
      <c r="B4">
        <v>38</v>
      </c>
      <c r="C4" t="s">
        <v>9</v>
      </c>
      <c r="D4">
        <v>40000</v>
      </c>
      <c r="E4" t="s">
        <v>16</v>
      </c>
      <c r="F4" t="str">
        <f t="shared" si="0"/>
        <v>low</v>
      </c>
      <c r="G4" t="str">
        <f t="shared" si="1"/>
        <v>other</v>
      </c>
      <c r="H4" t="str">
        <f t="shared" si="2"/>
        <v>normal</v>
      </c>
      <c r="I4" t="str">
        <f t="shared" si="3"/>
        <v>other</v>
      </c>
      <c r="J4" t="str" cm="1">
        <f t="array" ref="J4">_xlfn.IFS(D4&gt;70000,"A",D4&gt;=50000,"B",D4&gt;=40000,"C",TRUE,"D")</f>
        <v>C</v>
      </c>
      <c r="K4" t="str" cm="1">
        <f t="array" ref="K4">_xlfn.SWITCH(C4,"IT","INFORMATION TECHNOLOGY","HR","HUMAN RESOURCE","FINANCE","ACCOUNTANT","OTHER")</f>
        <v>INFORMATION TECHNOLOGY</v>
      </c>
      <c r="L4">
        <f t="shared" si="4"/>
        <v>0</v>
      </c>
    </row>
    <row r="5" spans="1:12" x14ac:dyDescent="0.3">
      <c r="A5" t="s">
        <v>4</v>
      </c>
      <c r="B5">
        <v>35</v>
      </c>
      <c r="C5" t="s">
        <v>11</v>
      </c>
      <c r="D5">
        <v>20000</v>
      </c>
      <c r="E5" t="s">
        <v>15</v>
      </c>
      <c r="F5" t="str">
        <f t="shared" si="0"/>
        <v>low</v>
      </c>
      <c r="G5" t="str">
        <f t="shared" si="1"/>
        <v>other</v>
      </c>
      <c r="H5" t="str">
        <f t="shared" si="2"/>
        <v>normal</v>
      </c>
      <c r="I5" t="str">
        <f t="shared" si="3"/>
        <v>hr</v>
      </c>
      <c r="J5" t="str" cm="1">
        <f t="array" ref="J5">_xlfn.IFS(D5&gt;70000,"A",D5&gt;=50000,"B",D5&gt;=40000,"C",TRUE,"D")</f>
        <v>D</v>
      </c>
      <c r="K5" t="str" cm="1">
        <f t="array" ref="K5">_xlfn.SWITCH(C5,"IT","INFORMATION TECHNOLOGY","HR","HUMAN RESOURCE","FINANCE","ACCOUNTANT","OTHER")</f>
        <v>HUMAN RESOURCE</v>
      </c>
      <c r="L5">
        <f t="shared" si="4"/>
        <v>5000</v>
      </c>
    </row>
    <row r="6" spans="1:12" x14ac:dyDescent="0.3">
      <c r="A6" t="s">
        <v>5</v>
      </c>
      <c r="B6">
        <v>28</v>
      </c>
      <c r="C6" t="s">
        <v>12</v>
      </c>
      <c r="D6">
        <v>70000</v>
      </c>
      <c r="E6" t="s">
        <v>17</v>
      </c>
      <c r="F6" t="str">
        <f t="shared" si="0"/>
        <v>high</v>
      </c>
      <c r="G6" t="str">
        <f t="shared" si="1"/>
        <v>other</v>
      </c>
      <c r="H6" t="str">
        <f t="shared" si="2"/>
        <v>normal</v>
      </c>
      <c r="I6" t="str">
        <f t="shared" si="3"/>
        <v>other</v>
      </c>
      <c r="J6" t="str" cm="1">
        <f t="array" ref="J6">_xlfn.IFS(D6&gt;70000,"A",D6&gt;=50000,"B",D6&gt;=40000,"C",TRUE,"D")</f>
        <v>B</v>
      </c>
      <c r="K6" t="str" cm="1">
        <f t="array" ref="K6">_xlfn.SWITCH(C6,"IT","INFORMATION TECHNOLOGY","HR","HUMAN RESOURCE","FINANCE","ACCOUNTANT","OTHER")</f>
        <v>ACCOUNTANT</v>
      </c>
      <c r="L6" t="str">
        <f>IF(E6="excellent",10000,IF(E6="good",5000,IF(E6="average",2000,IF(E6="poor",0,"none"))))</f>
        <v>none</v>
      </c>
    </row>
    <row r="7" spans="1:12" x14ac:dyDescent="0.3">
      <c r="A7" t="s">
        <v>7</v>
      </c>
      <c r="B7">
        <v>22</v>
      </c>
      <c r="C7" t="s">
        <v>11</v>
      </c>
      <c r="D7">
        <v>50000</v>
      </c>
      <c r="E7" t="s">
        <v>18</v>
      </c>
      <c r="F7" t="str">
        <f t="shared" si="0"/>
        <v>high</v>
      </c>
      <c r="G7" t="str">
        <f t="shared" si="1"/>
        <v>other</v>
      </c>
      <c r="H7" t="str">
        <f t="shared" si="2"/>
        <v>special</v>
      </c>
      <c r="I7" t="str">
        <f t="shared" si="3"/>
        <v>hr</v>
      </c>
      <c r="J7" t="str" cm="1">
        <f t="array" ref="J7">_xlfn.IFS(D7&gt;70000,"A",D7&gt;=50000,"B",D7&gt;=40000,"C",TRUE,"D")</f>
        <v>B</v>
      </c>
      <c r="K7" t="str" cm="1">
        <f t="array" ref="K7">_xlfn.SWITCH(C7,"IT","INFORMATION TECHNOLOGY","HR","HUMAN RESOURCE","FINANCE","ACCOUNTANT","OTHER")</f>
        <v>HUMAN RESOURCE</v>
      </c>
      <c r="L7">
        <f t="shared" si="4"/>
        <v>2000</v>
      </c>
    </row>
    <row r="9" spans="1:12" x14ac:dyDescent="0.3">
      <c r="K9" t="s">
        <v>26</v>
      </c>
    </row>
    <row r="12" spans="1:12" ht="23.4" x14ac:dyDescent="0.45">
      <c r="E12" s="2" t="s">
        <v>28</v>
      </c>
      <c r="F12" s="2"/>
      <c r="G12" s="2"/>
      <c r="H12" s="2"/>
      <c r="I12" s="2"/>
      <c r="J12" s="2"/>
      <c r="K12" s="2"/>
    </row>
    <row r="13" spans="1:12" x14ac:dyDescent="0.3">
      <c r="E13" s="2"/>
      <c r="F13" s="2"/>
      <c r="G13" s="2"/>
      <c r="H13" s="2"/>
      <c r="I13" s="2"/>
      <c r="J13" s="2"/>
      <c r="K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2025-11-19T06:54:17Z</dcterms:created>
  <dcterms:modified xsi:type="dcterms:W3CDTF">2025-11-19T07:32:58Z</dcterms:modified>
</cp:coreProperties>
</file>