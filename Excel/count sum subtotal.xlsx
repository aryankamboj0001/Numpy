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35\python\Excel\"/>
    </mc:Choice>
  </mc:AlternateContent>
  <xr:revisionPtr revIDLastSave="0" documentId="13_ncr:1_{4B5441DF-0AEF-4DCB-ADD8-74C9223EF413}" xr6:coauthVersionLast="47" xr6:coauthVersionMax="47" xr10:uidLastSave="{00000000-0000-0000-0000-000000000000}"/>
  <bookViews>
    <workbookView xWindow="-108" yWindow="-108" windowWidth="23256" windowHeight="12456" xr2:uid="{049B6833-777C-4630-8A80-7FEBC0CAB6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4" i="1"/>
  <c r="J13" i="1"/>
  <c r="J10" i="1"/>
  <c r="J9" i="1"/>
  <c r="J6" i="1"/>
  <c r="J4" i="1"/>
  <c r="J5" i="1"/>
</calcChain>
</file>

<file path=xl/sharedStrings.xml><?xml version="1.0" encoding="utf-8"?>
<sst xmlns="http://schemas.openxmlformats.org/spreadsheetml/2006/main" count="106" uniqueCount="49">
  <si>
    <t>Order ID</t>
  </si>
  <si>
    <t>Region</t>
  </si>
  <si>
    <t>Product</t>
  </si>
  <si>
    <t>Sales (₹)</t>
  </si>
  <si>
    <t>Quantity</t>
  </si>
  <si>
    <t>Status</t>
  </si>
  <si>
    <t>O101</t>
  </si>
  <si>
    <t>North</t>
  </si>
  <si>
    <t>Mobile Phone</t>
  </si>
  <si>
    <t>Delivered</t>
  </si>
  <si>
    <t>O102</t>
  </si>
  <si>
    <t>South</t>
  </si>
  <si>
    <t>Laptop</t>
  </si>
  <si>
    <t>Processing</t>
  </si>
  <si>
    <t>O103</t>
  </si>
  <si>
    <t>East</t>
  </si>
  <si>
    <t>Headphones</t>
  </si>
  <si>
    <t>O104</t>
  </si>
  <si>
    <t>West</t>
  </si>
  <si>
    <t>Refrigerator</t>
  </si>
  <si>
    <t>Cancelled</t>
  </si>
  <si>
    <t>O105</t>
  </si>
  <si>
    <t>Smart Watch</t>
  </si>
  <si>
    <t>O106</t>
  </si>
  <si>
    <t>Washing Machine</t>
  </si>
  <si>
    <t>Returned</t>
  </si>
  <si>
    <t>O107</t>
  </si>
  <si>
    <t>Office Chair</t>
  </si>
  <si>
    <t>O108</t>
  </si>
  <si>
    <t>Study Table</t>
  </si>
  <si>
    <t>Shipped</t>
  </si>
  <si>
    <t>O109</t>
  </si>
  <si>
    <t>Men's Jacket</t>
  </si>
  <si>
    <t>O110</t>
  </si>
  <si>
    <t>Grocery Pack</t>
  </si>
  <si>
    <t>count</t>
  </si>
  <si>
    <t>counta</t>
  </si>
  <si>
    <t>countblank</t>
  </si>
  <si>
    <t># count only integer value not blank space</t>
  </si>
  <si>
    <t># count all except black space</t>
  </si>
  <si>
    <t># count only black space</t>
  </si>
  <si>
    <t>countif</t>
  </si>
  <si>
    <t>countids</t>
  </si>
  <si>
    <t>sum</t>
  </si>
  <si>
    <t>sumif</t>
  </si>
  <si>
    <t>sumifs</t>
  </si>
  <si>
    <t>subtotal</t>
  </si>
  <si>
    <t xml:space="preserve">#it is benefication when we used group function because it is dynamic its data will change when we gropu similar data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</si>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</sst>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E5DD-7525-4842-86F2-47BE56D7B0EA}">
  <dimension ref="A1:K30"/>
  <sheetViews>
    <sheetView tabSelected="1" topLeftCell="A14" workbookViewId="0">
      <selection activeCell="L27" sqref="L27"/>
    </sheetView>
  </sheetViews>
  <sheetFormatPr defaultRowHeight="14.4" x14ac:dyDescent="0.3"/>
  <cols>
    <col min="3" max="3" width="15.44140625" bestFit="1" customWidth="1"/>
    <col min="4" max="4" width="7.6640625" bestFit="1" customWidth="1"/>
    <col min="6" max="6" width="9.5546875" bestFit="1" customWidth="1"/>
    <col min="9" max="9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">
      <c r="A2" t="s">
        <v>6</v>
      </c>
      <c r="B2" t="s">
        <v>7</v>
      </c>
      <c r="C2" t="s">
        <v>8</v>
      </c>
      <c r="D2">
        <v>25000</v>
      </c>
      <c r="E2">
        <v>2</v>
      </c>
      <c r="F2" t="s">
        <v>9</v>
      </c>
    </row>
    <row r="3" spans="1:11" x14ac:dyDescent="0.3">
      <c r="A3" t="s">
        <v>10</v>
      </c>
      <c r="B3" t="s">
        <v>11</v>
      </c>
      <c r="C3" t="s">
        <v>12</v>
      </c>
      <c r="D3">
        <v>58000</v>
      </c>
      <c r="E3">
        <v>1</v>
      </c>
      <c r="F3" t="s">
        <v>13</v>
      </c>
    </row>
    <row r="4" spans="1:11" x14ac:dyDescent="0.3">
      <c r="A4" t="s">
        <v>14</v>
      </c>
      <c r="B4" t="s">
        <v>15</v>
      </c>
      <c r="C4" t="s">
        <v>16</v>
      </c>
      <c r="D4">
        <v>1500</v>
      </c>
      <c r="E4">
        <v>3</v>
      </c>
      <c r="F4" t="s">
        <v>9</v>
      </c>
      <c r="I4" t="s">
        <v>35</v>
      </c>
      <c r="J4">
        <f>COUNT(D2:D11)</f>
        <v>9</v>
      </c>
      <c r="K4" t="s">
        <v>38</v>
      </c>
    </row>
    <row r="5" spans="1:11" x14ac:dyDescent="0.3">
      <c r="A5" t="s">
        <v>17</v>
      </c>
      <c r="B5" t="s">
        <v>18</v>
      </c>
      <c r="C5" t="s">
        <v>19</v>
      </c>
      <c r="D5">
        <v>18500</v>
      </c>
      <c r="E5">
        <v>1</v>
      </c>
      <c r="F5" t="s">
        <v>20</v>
      </c>
      <c r="I5" t="s">
        <v>36</v>
      </c>
      <c r="J5">
        <f>COUNTA(F2:F11)</f>
        <v>10</v>
      </c>
      <c r="K5" t="s">
        <v>39</v>
      </c>
    </row>
    <row r="6" spans="1:11" x14ac:dyDescent="0.3">
      <c r="A6" t="s">
        <v>21</v>
      </c>
      <c r="B6" t="s">
        <v>7</v>
      </c>
      <c r="C6" t="s">
        <v>22</v>
      </c>
      <c r="D6">
        <v>4200</v>
      </c>
      <c r="E6">
        <v>2</v>
      </c>
      <c r="F6" t="s">
        <v>9</v>
      </c>
      <c r="I6" t="s">
        <v>37</v>
      </c>
      <c r="J6">
        <f>COUNTBLANK(D2:D11)</f>
        <v>1</v>
      </c>
      <c r="K6" t="s">
        <v>40</v>
      </c>
    </row>
    <row r="7" spans="1:11" x14ac:dyDescent="0.3">
      <c r="A7" t="s">
        <v>23</v>
      </c>
      <c r="B7" t="s">
        <v>11</v>
      </c>
      <c r="C7" t="s">
        <v>24</v>
      </c>
      <c r="D7">
        <v>22000</v>
      </c>
      <c r="E7">
        <v>1</v>
      </c>
      <c r="F7" t="s">
        <v>25</v>
      </c>
    </row>
    <row r="8" spans="1:11" x14ac:dyDescent="0.3">
      <c r="A8" t="s">
        <v>26</v>
      </c>
      <c r="B8" t="s">
        <v>15</v>
      </c>
      <c r="C8" t="s">
        <v>27</v>
      </c>
      <c r="D8">
        <v>5500</v>
      </c>
      <c r="E8">
        <v>2</v>
      </c>
      <c r="F8" t="s">
        <v>9</v>
      </c>
    </row>
    <row r="9" spans="1:11" x14ac:dyDescent="0.3">
      <c r="A9" t="s">
        <v>28</v>
      </c>
      <c r="B9" t="s">
        <v>18</v>
      </c>
      <c r="C9" t="s">
        <v>29</v>
      </c>
      <c r="E9">
        <v>1</v>
      </c>
      <c r="F9" t="s">
        <v>30</v>
      </c>
      <c r="I9" t="s">
        <v>41</v>
      </c>
      <c r="J9">
        <f>COUNTIF(F2:F11,"delivered")</f>
        <v>5</v>
      </c>
    </row>
    <row r="10" spans="1:11" x14ac:dyDescent="0.3">
      <c r="A10" t="s">
        <v>31</v>
      </c>
      <c r="B10" t="s">
        <v>7</v>
      </c>
      <c r="C10" t="s">
        <v>32</v>
      </c>
      <c r="D10">
        <v>1800</v>
      </c>
      <c r="F10" t="s">
        <v>9</v>
      </c>
      <c r="I10" t="s">
        <v>42</v>
      </c>
      <c r="J10">
        <f>COUNTIFS(F2:F11,"delivered",B2:B11,"north")</f>
        <v>3</v>
      </c>
    </row>
    <row r="11" spans="1:11" x14ac:dyDescent="0.3">
      <c r="A11" t="s">
        <v>33</v>
      </c>
      <c r="B11" t="s">
        <v>11</v>
      </c>
      <c r="C11" t="s">
        <v>34</v>
      </c>
      <c r="D11">
        <v>750</v>
      </c>
      <c r="E11">
        <v>5</v>
      </c>
      <c r="F11" t="s">
        <v>13</v>
      </c>
    </row>
    <row r="13" spans="1:11" x14ac:dyDescent="0.3">
      <c r="I13" t="s">
        <v>43</v>
      </c>
      <c r="J13">
        <f>SUM(D2:D11)</f>
        <v>137250</v>
      </c>
    </row>
    <row r="14" spans="1:11" x14ac:dyDescent="0.3">
      <c r="I14" t="s">
        <v>44</v>
      </c>
      <c r="J14">
        <f>SUMIF(B2:B11,"north",D2:D11)</f>
        <v>31000</v>
      </c>
    </row>
    <row r="15" spans="1:11" x14ac:dyDescent="0.3">
      <c r="I15" t="s">
        <v>45</v>
      </c>
      <c r="J15">
        <f>SUMIFS(D2:D11,B2:B11,"north",F2:F11,"delivered")</f>
        <v>31000</v>
      </c>
    </row>
    <row r="16" spans="1:11" x14ac:dyDescent="0.3">
      <c r="I16" t="s">
        <v>46</v>
      </c>
      <c r="J16">
        <f>SUBTOTAL(9,D2:D11)</f>
        <v>137250</v>
      </c>
      <c r="K16" t="s">
        <v>47</v>
      </c>
    </row>
    <row r="19" spans="1:6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6" x14ac:dyDescent="0.3">
      <c r="A20" t="s">
        <v>6</v>
      </c>
      <c r="B20" t="s">
        <v>7</v>
      </c>
      <c r="C20" t="s">
        <v>8</v>
      </c>
      <c r="D20">
        <v>25000</v>
      </c>
      <c r="E20">
        <v>2</v>
      </c>
      <c r="F20" t="s">
        <v>9</v>
      </c>
    </row>
    <row r="21" spans="1:6" x14ac:dyDescent="0.3">
      <c r="A21" t="s">
        <v>10</v>
      </c>
      <c r="B21" t="s">
        <v>11</v>
      </c>
      <c r="C21" t="s">
        <v>12</v>
      </c>
      <c r="D21">
        <v>58000</v>
      </c>
      <c r="E21">
        <v>1</v>
      </c>
      <c r="F21" t="s">
        <v>13</v>
      </c>
    </row>
    <row r="22" spans="1:6" x14ac:dyDescent="0.3">
      <c r="A22" t="s">
        <v>14</v>
      </c>
      <c r="B22" t="s">
        <v>15</v>
      </c>
      <c r="C22" t="s">
        <v>16</v>
      </c>
      <c r="D22">
        <v>1500</v>
      </c>
      <c r="E22">
        <v>3</v>
      </c>
      <c r="F22" t="s">
        <v>9</v>
      </c>
    </row>
    <row r="23" spans="1:6" x14ac:dyDescent="0.3">
      <c r="A23" t="s">
        <v>17</v>
      </c>
      <c r="B23" t="s">
        <v>18</v>
      </c>
      <c r="C23" t="s">
        <v>19</v>
      </c>
      <c r="D23">
        <v>18500</v>
      </c>
      <c r="E23">
        <v>1</v>
      </c>
      <c r="F23" t="s">
        <v>20</v>
      </c>
    </row>
    <row r="24" spans="1:6" x14ac:dyDescent="0.3">
      <c r="A24" t="s">
        <v>21</v>
      </c>
      <c r="B24" t="s">
        <v>7</v>
      </c>
      <c r="C24" t="s">
        <v>22</v>
      </c>
      <c r="D24">
        <v>4200</v>
      </c>
      <c r="E24">
        <v>2</v>
      </c>
      <c r="F24" t="s">
        <v>9</v>
      </c>
    </row>
    <row r="25" spans="1:6" x14ac:dyDescent="0.3">
      <c r="A25" t="s">
        <v>23</v>
      </c>
      <c r="B25" t="s">
        <v>11</v>
      </c>
      <c r="C25" t="s">
        <v>24</v>
      </c>
      <c r="D25">
        <v>22000</v>
      </c>
      <c r="E25">
        <v>1</v>
      </c>
      <c r="F25" t="s">
        <v>25</v>
      </c>
    </row>
    <row r="26" spans="1:6" x14ac:dyDescent="0.3">
      <c r="A26" t="s">
        <v>26</v>
      </c>
      <c r="B26" t="s">
        <v>15</v>
      </c>
      <c r="C26" t="s">
        <v>27</v>
      </c>
      <c r="D26">
        <v>5500</v>
      </c>
      <c r="E26">
        <v>2</v>
      </c>
      <c r="F26" t="s">
        <v>9</v>
      </c>
    </row>
    <row r="27" spans="1:6" x14ac:dyDescent="0.3">
      <c r="A27" t="s">
        <v>28</v>
      </c>
      <c r="B27" t="s">
        <v>18</v>
      </c>
      <c r="C27" t="s">
        <v>29</v>
      </c>
      <c r="E27">
        <v>1</v>
      </c>
      <c r="F27" t="s">
        <v>30</v>
      </c>
    </row>
    <row r="28" spans="1:6" x14ac:dyDescent="0.3">
      <c r="A28" t="s">
        <v>31</v>
      </c>
      <c r="B28" t="s">
        <v>7</v>
      </c>
      <c r="C28" t="s">
        <v>32</v>
      </c>
      <c r="D28">
        <v>1800</v>
      </c>
      <c r="F28" t="s">
        <v>9</v>
      </c>
    </row>
    <row r="29" spans="1:6" x14ac:dyDescent="0.3">
      <c r="A29" t="s">
        <v>33</v>
      </c>
      <c r="B29" t="s">
        <v>11</v>
      </c>
      <c r="C29" t="s">
        <v>34</v>
      </c>
      <c r="D29">
        <v>750</v>
      </c>
      <c r="E29">
        <v>5</v>
      </c>
      <c r="F29" t="s">
        <v>13</v>
      </c>
    </row>
    <row r="30" spans="1:6" x14ac:dyDescent="0.3">
      <c r="A30" s="1"/>
      <c r="B30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2025-11-20T10:33:15Z</dcterms:created>
  <dcterms:modified xsi:type="dcterms:W3CDTF">2025-11-20T11:02:42Z</dcterms:modified>
</cp:coreProperties>
</file>