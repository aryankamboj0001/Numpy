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B2FCA619-29FF-4BAC-9C1A-3A01650D02C2}" xr6:coauthVersionLast="47" xr6:coauthVersionMax="47" xr10:uidLastSave="{00000000-0000-0000-0000-000000000000}"/>
  <bookViews>
    <workbookView xWindow="-108" yWindow="-108" windowWidth="23256" windowHeight="12456" xr2:uid="{4DB91A3D-D78F-481D-8F0D-2CB04C191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25" i="1"/>
  <c r="I26" i="1"/>
  <c r="I27" i="1"/>
  <c r="I28" i="1"/>
  <c r="I29" i="1"/>
  <c r="I20" i="1"/>
  <c r="H21" i="1"/>
  <c r="H22" i="1"/>
  <c r="H23" i="1"/>
  <c r="H24" i="1"/>
  <c r="H25" i="1"/>
  <c r="H26" i="1"/>
  <c r="H27" i="1"/>
  <c r="H28" i="1"/>
  <c r="H29" i="1"/>
  <c r="H20" i="1"/>
  <c r="G20" i="1"/>
  <c r="G21" i="1"/>
  <c r="G22" i="1"/>
  <c r="G23" i="1"/>
  <c r="G24" i="1"/>
  <c r="G25" i="1"/>
  <c r="G26" i="1"/>
  <c r="G27" i="1"/>
  <c r="G28" i="1"/>
  <c r="G29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2" i="1"/>
  <c r="G15" i="1"/>
  <c r="G14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<sst xmlns="http://schemas.openxmlformats.org/spreadsheetml/2006/main" count="50" uniqueCount="34">
  <si>
    <t>ID</t>
  </si>
  <si>
    <t>Full Name</t>
  </si>
  <si>
    <t>Time</t>
  </si>
  <si>
    <t>Aryan Sharma</t>
  </si>
  <si>
    <t>Riya Verma</t>
  </si>
  <si>
    <t>Rohan Mehta</t>
  </si>
  <si>
    <t>Sneha Kapoor</t>
  </si>
  <si>
    <t>Aditya Singh</t>
  </si>
  <si>
    <t>Priya Nair</t>
  </si>
  <si>
    <t>Manish Gupta</t>
  </si>
  <si>
    <t>Kavya Patel</t>
  </si>
  <si>
    <t>DOB</t>
  </si>
  <si>
    <t>Join Date</t>
  </si>
  <si>
    <t>End Date</t>
  </si>
  <si>
    <t>Sumit Rao</t>
  </si>
  <si>
    <t>Neha Bansal</t>
  </si>
  <si>
    <t>day</t>
  </si>
  <si>
    <t>month</t>
  </si>
  <si>
    <t>year</t>
  </si>
  <si>
    <t>week nums</t>
  </si>
  <si>
    <t xml:space="preserve"> </t>
  </si>
  <si>
    <t>today</t>
  </si>
  <si>
    <t>now</t>
  </si>
  <si>
    <t>hours</t>
  </si>
  <si>
    <t>minute</t>
  </si>
  <si>
    <t>second</t>
  </si>
  <si>
    <t>date diff from now / m</t>
  </si>
  <si>
    <t xml:space="preserve">#datedif is not present in excel library we want to write full </t>
  </si>
  <si>
    <t>date diff from now / y</t>
  </si>
  <si>
    <t>date diff from now / d</t>
  </si>
  <si>
    <t>date diff</t>
  </si>
  <si>
    <t>working days</t>
  </si>
  <si>
    <t>end of month</t>
  </si>
  <si>
    <t>end of month give data like 44255 so we want to convert it into general to date (short date)(long data) from number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</si>
</sst>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648D-90DB-48F1-A820-985C3008B8F2}">
  <dimension ref="A1:S29"/>
  <sheetViews>
    <sheetView tabSelected="1" workbookViewId="0">
      <selection activeCell="K29" sqref="K29"/>
    </sheetView>
  </sheetViews>
  <sheetFormatPr defaultRowHeight="14.4" x14ac:dyDescent="0.3"/>
  <cols>
    <col min="1" max="1" width="4" bestFit="1" customWidth="1"/>
    <col min="2" max="2" width="12.21875" bestFit="1" customWidth="1"/>
    <col min="3" max="3" width="25.21875" bestFit="1" customWidth="1"/>
    <col min="4" max="5" width="10.33203125" bestFit="1" customWidth="1"/>
    <col min="6" max="6" width="10.33203125" customWidth="1"/>
    <col min="7" max="7" width="15.44140625" bestFit="1" customWidth="1"/>
    <col min="9" max="9" width="16.77734375" bestFit="1" customWidth="1"/>
    <col min="10" max="10" width="10.5546875" bestFit="1" customWidth="1"/>
  </cols>
  <sheetData>
    <row r="1" spans="1:19" s="5" customFormat="1" ht="43.2" x14ac:dyDescent="0.3">
      <c r="A1" s="5" t="s">
        <v>0</v>
      </c>
      <c r="B1" s="5" t="s">
        <v>1</v>
      </c>
      <c r="C1" s="5" t="s">
        <v>11</v>
      </c>
      <c r="D1" s="5" t="s">
        <v>12</v>
      </c>
      <c r="E1" s="5" t="s">
        <v>13</v>
      </c>
      <c r="F1" s="5" t="s">
        <v>2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28</v>
      </c>
      <c r="P1" s="5" t="s">
        <v>29</v>
      </c>
    </row>
    <row r="2" spans="1:19" x14ac:dyDescent="0.3">
      <c r="A2">
        <v>101</v>
      </c>
      <c r="B2" t="s">
        <v>3</v>
      </c>
      <c r="C2" s="1">
        <v>36262</v>
      </c>
      <c r="D2" s="1">
        <v>44206</v>
      </c>
      <c r="E2" s="1">
        <v>45657</v>
      </c>
      <c r="F2" s="2">
        <v>0.36464120370370373</v>
      </c>
      <c r="G2">
        <f>DAY(C2)</f>
        <v>12</v>
      </c>
      <c r="H2">
        <f>MONTH(C2)</f>
        <v>4</v>
      </c>
      <c r="I2">
        <f>YEAR(C2)</f>
        <v>1999</v>
      </c>
      <c r="J2">
        <f>WEEKNUM(C2,2)</f>
        <v>16</v>
      </c>
      <c r="K2">
        <f>HOUR(F2)</f>
        <v>8</v>
      </c>
      <c r="L2">
        <f>MINUTE(F2)</f>
        <v>45</v>
      </c>
      <c r="M2">
        <f>SECOND(F2)</f>
        <v>5</v>
      </c>
      <c r="N2">
        <f ca="1">DATEDIF(D2,TODAY(),"m")</f>
        <v>58</v>
      </c>
      <c r="O2">
        <f ca="1">DATEDIF(D2,TODAY(),"y")</f>
        <v>4</v>
      </c>
      <c r="P2">
        <f ca="1">DATEDIF(D2,TODAY(),"d")</f>
        <v>1774</v>
      </c>
    </row>
    <row r="3" spans="1:19" x14ac:dyDescent="0.3">
      <c r="A3">
        <v>102</v>
      </c>
      <c r="B3" t="s">
        <v>4</v>
      </c>
      <c r="C3" s="1">
        <v>36835</v>
      </c>
      <c r="D3" s="1">
        <v>44002</v>
      </c>
      <c r="E3" s="1">
        <v>45828</v>
      </c>
      <c r="F3" s="2">
        <v>0.60416666666666663</v>
      </c>
      <c r="G3">
        <f>DAY(C3)</f>
        <v>5</v>
      </c>
      <c r="H3">
        <f>MONTH(C3)</f>
        <v>11</v>
      </c>
      <c r="I3">
        <f>YEAR(C3)</f>
        <v>2000</v>
      </c>
      <c r="J3">
        <f>WEEKNUM(C3,2)</f>
        <v>45</v>
      </c>
      <c r="K3">
        <f t="shared" ref="K3:K10" si="0">HOUR(F3)</f>
        <v>14</v>
      </c>
      <c r="L3">
        <f t="shared" ref="L3:L11" si="1">MINUTE(F3)</f>
        <v>30</v>
      </c>
      <c r="M3">
        <f t="shared" ref="M3:M10" si="2">SECOND(F3)</f>
        <v>0</v>
      </c>
      <c r="N3">
        <f t="shared" ref="N3:N11" ca="1" si="3">DATEDIF(D3,TODAY(),"m")</f>
        <v>64</v>
      </c>
      <c r="O3">
        <f t="shared" ref="O3:O11" ca="1" si="4">DATEDIF(D3,TODAY(),"y")</f>
        <v>5</v>
      </c>
      <c r="P3">
        <f t="shared" ref="P3:P11" ca="1" si="5">DATEDIF(D3,TODAY(),"d")</f>
        <v>1978</v>
      </c>
    </row>
    <row r="4" spans="1:19" x14ac:dyDescent="0.3">
      <c r="A4">
        <v>103</v>
      </c>
      <c r="B4" t="s">
        <v>5</v>
      </c>
      <c r="C4" s="1">
        <v>35844</v>
      </c>
      <c r="D4" s="1">
        <v>43723</v>
      </c>
      <c r="E4" s="1">
        <v>45550</v>
      </c>
      <c r="F4" s="2">
        <v>0.79861111111111116</v>
      </c>
      <c r="G4">
        <f>DAY(C4)</f>
        <v>18</v>
      </c>
      <c r="H4">
        <f>MONTH(C4)</f>
        <v>2</v>
      </c>
      <c r="I4">
        <f>YEAR(C4)</f>
        <v>1998</v>
      </c>
      <c r="J4">
        <f>WEEKNUM(C4,2)</f>
        <v>8</v>
      </c>
      <c r="K4">
        <f t="shared" si="0"/>
        <v>19</v>
      </c>
      <c r="L4">
        <f t="shared" si="1"/>
        <v>10</v>
      </c>
      <c r="M4">
        <f t="shared" si="2"/>
        <v>0</v>
      </c>
      <c r="N4">
        <f t="shared" ca="1" si="3"/>
        <v>74</v>
      </c>
      <c r="O4">
        <f t="shared" ca="1" si="4"/>
        <v>6</v>
      </c>
      <c r="P4">
        <f t="shared" ca="1" si="5"/>
        <v>2257</v>
      </c>
    </row>
    <row r="5" spans="1:19" x14ac:dyDescent="0.3">
      <c r="A5">
        <v>104</v>
      </c>
      <c r="B5" t="s">
        <v>6</v>
      </c>
      <c r="C5" s="1">
        <v>35633</v>
      </c>
      <c r="D5" s="1">
        <v>43191</v>
      </c>
      <c r="E5" s="1">
        <v>45017</v>
      </c>
      <c r="F5" s="2">
        <v>0.37563657407407408</v>
      </c>
      <c r="G5">
        <f>DAY(C5)</f>
        <v>22</v>
      </c>
      <c r="H5">
        <f>MONTH(C5)</f>
        <v>7</v>
      </c>
      <c r="I5">
        <f>YEAR(C5)</f>
        <v>1997</v>
      </c>
      <c r="J5">
        <f>WEEKNUM(C5,2)</f>
        <v>30</v>
      </c>
      <c r="K5">
        <f t="shared" si="0"/>
        <v>9</v>
      </c>
      <c r="L5">
        <f t="shared" si="1"/>
        <v>0</v>
      </c>
      <c r="M5">
        <f t="shared" si="2"/>
        <v>55</v>
      </c>
      <c r="N5">
        <f t="shared" ca="1" si="3"/>
        <v>91</v>
      </c>
      <c r="O5">
        <f t="shared" ca="1" si="4"/>
        <v>7</v>
      </c>
      <c r="P5">
        <f t="shared" ca="1" si="5"/>
        <v>2789</v>
      </c>
    </row>
    <row r="6" spans="1:19" x14ac:dyDescent="0.3">
      <c r="A6">
        <v>105</v>
      </c>
      <c r="B6" t="s">
        <v>7</v>
      </c>
      <c r="C6" s="1">
        <v>35134</v>
      </c>
      <c r="D6" s="1">
        <v>44603</v>
      </c>
      <c r="E6" s="1">
        <v>46064</v>
      </c>
      <c r="F6" s="2">
        <v>0.69791666666666663</v>
      </c>
      <c r="G6">
        <f>DAY(C6)</f>
        <v>10</v>
      </c>
      <c r="H6">
        <f>MONTH(C6)</f>
        <v>3</v>
      </c>
      <c r="I6">
        <f>YEAR(C6)</f>
        <v>1996</v>
      </c>
      <c r="J6">
        <f>WEEKNUM(C6,2)</f>
        <v>10</v>
      </c>
      <c r="K6">
        <f t="shared" si="0"/>
        <v>16</v>
      </c>
      <c r="L6">
        <f t="shared" si="1"/>
        <v>45</v>
      </c>
      <c r="M6">
        <f t="shared" si="2"/>
        <v>0</v>
      </c>
      <c r="N6">
        <f t="shared" ca="1" si="3"/>
        <v>45</v>
      </c>
      <c r="O6">
        <f t="shared" ca="1" si="4"/>
        <v>3</v>
      </c>
      <c r="P6">
        <f t="shared" ca="1" si="5"/>
        <v>1377</v>
      </c>
    </row>
    <row r="7" spans="1:19" x14ac:dyDescent="0.3">
      <c r="A7">
        <v>106</v>
      </c>
      <c r="B7" t="s">
        <v>8</v>
      </c>
      <c r="C7" s="1">
        <v>36434</v>
      </c>
      <c r="D7" s="1">
        <v>44409</v>
      </c>
      <c r="E7" s="1">
        <v>45505</v>
      </c>
      <c r="F7" s="2">
        <v>0.30555555555555558</v>
      </c>
      <c r="G7">
        <f>DAY(C7)</f>
        <v>1</v>
      </c>
      <c r="H7">
        <f>MONTH(C7)</f>
        <v>10</v>
      </c>
      <c r="I7">
        <f>YEAR(C7)</f>
        <v>1999</v>
      </c>
      <c r="J7">
        <f>WEEKNUM(C7,2)</f>
        <v>40</v>
      </c>
      <c r="K7">
        <f t="shared" si="0"/>
        <v>7</v>
      </c>
      <c r="L7">
        <f t="shared" si="1"/>
        <v>20</v>
      </c>
      <c r="M7">
        <f t="shared" si="2"/>
        <v>0</v>
      </c>
      <c r="N7">
        <f t="shared" ca="1" si="3"/>
        <v>51</v>
      </c>
      <c r="O7">
        <f t="shared" ca="1" si="4"/>
        <v>4</v>
      </c>
      <c r="P7">
        <f t="shared" ca="1" si="5"/>
        <v>1571</v>
      </c>
    </row>
    <row r="8" spans="1:19" x14ac:dyDescent="0.3">
      <c r="A8">
        <v>107</v>
      </c>
      <c r="B8" t="s">
        <v>9</v>
      </c>
      <c r="C8" s="1">
        <v>35048</v>
      </c>
      <c r="D8" s="1">
        <v>42760</v>
      </c>
      <c r="E8" s="1">
        <v>44586</v>
      </c>
      <c r="F8" s="2">
        <v>0.49652777777777779</v>
      </c>
      <c r="G8">
        <f>DAY(C8)</f>
        <v>15</v>
      </c>
      <c r="H8">
        <f>MONTH(C8)</f>
        <v>12</v>
      </c>
      <c r="I8">
        <f>YEAR(C8)</f>
        <v>1995</v>
      </c>
      <c r="J8">
        <f>WEEKNUM(C8,2)</f>
        <v>51</v>
      </c>
      <c r="K8">
        <f t="shared" si="0"/>
        <v>11</v>
      </c>
      <c r="L8">
        <f t="shared" si="1"/>
        <v>55</v>
      </c>
      <c r="M8">
        <f t="shared" si="2"/>
        <v>0</v>
      </c>
      <c r="N8">
        <f t="shared" ca="1" si="3"/>
        <v>105</v>
      </c>
      <c r="O8">
        <f t="shared" ca="1" si="4"/>
        <v>8</v>
      </c>
      <c r="P8">
        <f t="shared" ca="1" si="5"/>
        <v>3220</v>
      </c>
    </row>
    <row r="9" spans="1:19" x14ac:dyDescent="0.3">
      <c r="A9">
        <v>108</v>
      </c>
      <c r="B9" t="s">
        <v>10</v>
      </c>
      <c r="C9" s="1">
        <v>36047</v>
      </c>
      <c r="D9" s="1">
        <v>44019</v>
      </c>
      <c r="E9" s="1">
        <v>45845</v>
      </c>
      <c r="F9" s="2">
        <v>0.56944444444444442</v>
      </c>
      <c r="G9">
        <f>DAY(C9)</f>
        <v>9</v>
      </c>
      <c r="H9">
        <f>MONTH(C9)</f>
        <v>9</v>
      </c>
      <c r="I9">
        <f>YEAR(C9)</f>
        <v>1998</v>
      </c>
      <c r="J9">
        <f>WEEKNUM(C9,2)</f>
        <v>37</v>
      </c>
      <c r="K9">
        <f t="shared" si="0"/>
        <v>13</v>
      </c>
      <c r="L9">
        <f t="shared" si="1"/>
        <v>40</v>
      </c>
      <c r="M9">
        <f t="shared" si="2"/>
        <v>0</v>
      </c>
      <c r="N9">
        <f t="shared" ca="1" si="3"/>
        <v>64</v>
      </c>
      <c r="O9">
        <f t="shared" ca="1" si="4"/>
        <v>5</v>
      </c>
      <c r="P9">
        <f t="shared" ca="1" si="5"/>
        <v>1961</v>
      </c>
    </row>
    <row r="10" spans="1:19" x14ac:dyDescent="0.3">
      <c r="A10">
        <v>109</v>
      </c>
      <c r="B10" t="s">
        <v>14</v>
      </c>
      <c r="C10" s="1">
        <v>35239</v>
      </c>
      <c r="D10" s="1">
        <v>43534</v>
      </c>
      <c r="E10" s="1">
        <v>45361</v>
      </c>
      <c r="F10" s="4"/>
      <c r="G10">
        <f t="shared" ref="G10:G11" si="6">DAY(C10)</f>
        <v>23</v>
      </c>
      <c r="H10">
        <f t="shared" ref="H10:H11" si="7">MONTH(C10)</f>
        <v>6</v>
      </c>
      <c r="I10">
        <f t="shared" ref="I10:I11" si="8">YEAR(C10)</f>
        <v>1996</v>
      </c>
      <c r="J10">
        <f>WEEKNUM(C10,2)</f>
        <v>25</v>
      </c>
      <c r="K10">
        <f t="shared" si="0"/>
        <v>0</v>
      </c>
      <c r="L10">
        <f t="shared" si="1"/>
        <v>0</v>
      </c>
      <c r="M10">
        <f t="shared" si="2"/>
        <v>0</v>
      </c>
      <c r="N10">
        <f t="shared" ca="1" si="3"/>
        <v>80</v>
      </c>
      <c r="O10">
        <f t="shared" ca="1" si="4"/>
        <v>6</v>
      </c>
      <c r="P10">
        <f t="shared" ca="1" si="5"/>
        <v>2446</v>
      </c>
    </row>
    <row r="11" spans="1:19" x14ac:dyDescent="0.3">
      <c r="A11">
        <v>110</v>
      </c>
      <c r="B11" t="s">
        <v>15</v>
      </c>
      <c r="C11" s="1">
        <v>36905</v>
      </c>
      <c r="D11" s="1">
        <v>45056</v>
      </c>
      <c r="E11" s="1">
        <v>46517</v>
      </c>
      <c r="F11" s="2"/>
      <c r="G11">
        <f t="shared" si="6"/>
        <v>14</v>
      </c>
      <c r="H11">
        <f t="shared" si="7"/>
        <v>1</v>
      </c>
      <c r="I11">
        <f t="shared" si="8"/>
        <v>2001</v>
      </c>
      <c r="J11" t="s">
        <v>20</v>
      </c>
      <c r="L11">
        <f t="shared" si="1"/>
        <v>0</v>
      </c>
      <c r="N11">
        <f t="shared" ca="1" si="3"/>
        <v>30</v>
      </c>
      <c r="O11">
        <f t="shared" ca="1" si="4"/>
        <v>2</v>
      </c>
      <c r="P11">
        <f t="shared" ca="1" si="5"/>
        <v>924</v>
      </c>
    </row>
    <row r="12" spans="1:19" x14ac:dyDescent="0.3">
      <c r="N12" t="s">
        <v>27</v>
      </c>
    </row>
    <row r="14" spans="1:19" x14ac:dyDescent="0.3">
      <c r="F14" t="s">
        <v>21</v>
      </c>
      <c r="G14" s="1">
        <f ca="1">TODAY()</f>
        <v>45980</v>
      </c>
    </row>
    <row r="15" spans="1:19" x14ac:dyDescent="0.3">
      <c r="F15" t="s">
        <v>22</v>
      </c>
      <c r="G15" s="3">
        <f ca="1">NOW()</f>
        <v>45980.619517013889</v>
      </c>
    </row>
    <row r="16" spans="1:19" x14ac:dyDescent="0.3">
      <c r="S16" s="4"/>
    </row>
    <row r="19" spans="1:11" ht="28.8" x14ac:dyDescent="0.3">
      <c r="A19" s="5" t="s">
        <v>0</v>
      </c>
      <c r="B19" s="5" t="s">
        <v>1</v>
      </c>
      <c r="C19" s="5" t="s">
        <v>11</v>
      </c>
      <c r="D19" s="5" t="s">
        <v>12</v>
      </c>
      <c r="E19" s="5" t="s">
        <v>13</v>
      </c>
      <c r="F19" s="5" t="s">
        <v>2</v>
      </c>
      <c r="G19" s="5" t="s">
        <v>30</v>
      </c>
      <c r="H19" s="5" t="s">
        <v>31</v>
      </c>
      <c r="I19" s="5" t="s">
        <v>32</v>
      </c>
    </row>
    <row r="20" spans="1:11" x14ac:dyDescent="0.3">
      <c r="A20">
        <v>101</v>
      </c>
      <c r="B20" t="s">
        <v>3</v>
      </c>
      <c r="C20" s="1">
        <v>36262</v>
      </c>
      <c r="D20" s="1">
        <v>44206</v>
      </c>
      <c r="E20" s="1">
        <v>45657</v>
      </c>
      <c r="F20" s="2">
        <v>0.36464120370370373</v>
      </c>
      <c r="G20">
        <f>DATEDIF(D20,E20,"d")</f>
        <v>1451</v>
      </c>
      <c r="H20">
        <f>NETWORKDAYS(D20,E20)</f>
        <v>1037</v>
      </c>
      <c r="I20" s="6">
        <f>EOMONTH(D20,0)</f>
        <v>44227</v>
      </c>
      <c r="K20" t="s">
        <v>33</v>
      </c>
    </row>
    <row r="21" spans="1:11" x14ac:dyDescent="0.3">
      <c r="A21">
        <v>102</v>
      </c>
      <c r="B21" t="s">
        <v>4</v>
      </c>
      <c r="C21" s="1">
        <v>36835</v>
      </c>
      <c r="D21" s="1">
        <v>44002</v>
      </c>
      <c r="E21" s="1">
        <v>45828</v>
      </c>
      <c r="F21" s="2">
        <v>0.60416666666666663</v>
      </c>
      <c r="G21">
        <f t="shared" ref="G21:G29" si="9">DATEDIF(D21,E21,"d")</f>
        <v>1826</v>
      </c>
      <c r="H21">
        <f t="shared" ref="H21:H29" si="10">NETWORKDAYS(D21,E21)</f>
        <v>1305</v>
      </c>
      <c r="I21" s="6">
        <f t="shared" ref="I21:I29" si="11">EOMONTH(D21,0)</f>
        <v>44012</v>
      </c>
    </row>
    <row r="22" spans="1:11" x14ac:dyDescent="0.3">
      <c r="A22">
        <v>103</v>
      </c>
      <c r="B22" t="s">
        <v>5</v>
      </c>
      <c r="C22" s="1">
        <v>35844</v>
      </c>
      <c r="D22" s="1">
        <v>43723</v>
      </c>
      <c r="E22" s="1">
        <v>45550</v>
      </c>
      <c r="F22" s="2">
        <v>0.79861111111111116</v>
      </c>
      <c r="G22">
        <f t="shared" si="9"/>
        <v>1827</v>
      </c>
      <c r="H22">
        <f t="shared" si="10"/>
        <v>1305</v>
      </c>
      <c r="I22" s="6">
        <f t="shared" si="11"/>
        <v>43738</v>
      </c>
    </row>
    <row r="23" spans="1:11" x14ac:dyDescent="0.3">
      <c r="A23">
        <v>104</v>
      </c>
      <c r="B23" t="s">
        <v>6</v>
      </c>
      <c r="C23" s="1">
        <v>35633</v>
      </c>
      <c r="D23" s="1">
        <v>43191</v>
      </c>
      <c r="E23" s="1">
        <v>45017</v>
      </c>
      <c r="F23" s="2">
        <v>0.37563657407407408</v>
      </c>
      <c r="G23">
        <f t="shared" si="9"/>
        <v>1826</v>
      </c>
      <c r="H23">
        <f t="shared" si="10"/>
        <v>1305</v>
      </c>
      <c r="I23" s="6">
        <f t="shared" si="11"/>
        <v>43220</v>
      </c>
    </row>
    <row r="24" spans="1:11" x14ac:dyDescent="0.3">
      <c r="A24">
        <v>105</v>
      </c>
      <c r="B24" t="s">
        <v>7</v>
      </c>
      <c r="C24" s="1">
        <v>35134</v>
      </c>
      <c r="D24" s="1">
        <v>44603</v>
      </c>
      <c r="E24" s="1">
        <v>46064</v>
      </c>
      <c r="F24" s="2">
        <v>0.69791666666666663</v>
      </c>
      <c r="G24">
        <f t="shared" si="9"/>
        <v>1461</v>
      </c>
      <c r="H24">
        <f t="shared" si="10"/>
        <v>1044</v>
      </c>
      <c r="I24" s="6">
        <f t="shared" si="11"/>
        <v>44620</v>
      </c>
    </row>
    <row r="25" spans="1:11" x14ac:dyDescent="0.3">
      <c r="A25">
        <v>106</v>
      </c>
      <c r="B25" t="s">
        <v>8</v>
      </c>
      <c r="C25" s="1">
        <v>36434</v>
      </c>
      <c r="D25" s="1">
        <v>44409</v>
      </c>
      <c r="E25" s="1">
        <v>45505</v>
      </c>
      <c r="F25" s="2">
        <v>0.30555555555555558</v>
      </c>
      <c r="G25">
        <f t="shared" si="9"/>
        <v>1096</v>
      </c>
      <c r="H25">
        <f t="shared" si="10"/>
        <v>784</v>
      </c>
      <c r="I25" s="6">
        <f t="shared" si="11"/>
        <v>44439</v>
      </c>
    </row>
    <row r="26" spans="1:11" x14ac:dyDescent="0.3">
      <c r="A26">
        <v>107</v>
      </c>
      <c r="B26" t="s">
        <v>9</v>
      </c>
      <c r="C26" s="1">
        <v>35048</v>
      </c>
      <c r="D26" s="1">
        <v>42760</v>
      </c>
      <c r="E26" s="1">
        <v>44586</v>
      </c>
      <c r="F26" s="2">
        <v>0.49652777777777779</v>
      </c>
      <c r="G26">
        <f t="shared" si="9"/>
        <v>1826</v>
      </c>
      <c r="H26">
        <f t="shared" si="10"/>
        <v>1305</v>
      </c>
      <c r="I26" s="6">
        <f t="shared" si="11"/>
        <v>42766</v>
      </c>
    </row>
    <row r="27" spans="1:11" x14ac:dyDescent="0.3">
      <c r="A27">
        <v>108</v>
      </c>
      <c r="B27" t="s">
        <v>10</v>
      </c>
      <c r="C27" s="1">
        <v>36047</v>
      </c>
      <c r="D27" s="1">
        <v>44019</v>
      </c>
      <c r="E27" s="1">
        <v>45845</v>
      </c>
      <c r="F27" s="2">
        <v>0.56944444444444442</v>
      </c>
      <c r="G27">
        <f t="shared" si="9"/>
        <v>1826</v>
      </c>
      <c r="H27">
        <f t="shared" si="10"/>
        <v>1305</v>
      </c>
      <c r="I27" s="6">
        <f t="shared" si="11"/>
        <v>44043</v>
      </c>
    </row>
    <row r="28" spans="1:11" x14ac:dyDescent="0.3">
      <c r="A28">
        <v>109</v>
      </c>
      <c r="B28" t="s">
        <v>14</v>
      </c>
      <c r="C28" s="1">
        <v>35239</v>
      </c>
      <c r="D28" s="1">
        <v>43534</v>
      </c>
      <c r="E28" s="1">
        <v>45361</v>
      </c>
      <c r="F28" s="4"/>
      <c r="G28">
        <f t="shared" si="9"/>
        <v>1827</v>
      </c>
      <c r="H28">
        <f t="shared" si="10"/>
        <v>1305</v>
      </c>
      <c r="I28" s="6">
        <f t="shared" si="11"/>
        <v>43555</v>
      </c>
    </row>
    <row r="29" spans="1:11" x14ac:dyDescent="0.3">
      <c r="A29">
        <v>110</v>
      </c>
      <c r="B29" t="s">
        <v>15</v>
      </c>
      <c r="C29" s="1">
        <v>36905</v>
      </c>
      <c r="D29" s="1">
        <v>45056</v>
      </c>
      <c r="E29" s="1">
        <v>46517</v>
      </c>
      <c r="F29" s="2"/>
      <c r="G29">
        <f t="shared" si="9"/>
        <v>1461</v>
      </c>
      <c r="H29">
        <f t="shared" si="10"/>
        <v>1044</v>
      </c>
      <c r="I29" s="6">
        <f t="shared" si="11"/>
        <v>45077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2025-11-19T08:45:34Z</dcterms:created>
  <dcterms:modified xsi:type="dcterms:W3CDTF">2025-11-19T09:24:42Z</dcterms:modified>
</cp:coreProperties>
</file>